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vgrifaldo\Desktop\YEKA-PROPERTY\REPORT 2024\"/>
    </mc:Choice>
  </mc:AlternateContent>
  <bookViews>
    <workbookView xWindow="0" yWindow="0" windowWidth="28800" windowHeight="11430"/>
  </bookViews>
  <sheets>
    <sheet name="APP " sheetId="19" r:id="rId1"/>
    <sheet name="Sheet1" sheetId="21" r:id="rId2"/>
    <sheet name="Sheet2" sheetId="22" r:id="rId3"/>
    <sheet name="Guide" sheetId="17" r:id="rId4"/>
    <sheet name="Updated APP Illustration" sheetId="20" r:id="rId5"/>
  </sheets>
  <externalReferences>
    <externalReference r:id="rId6"/>
  </externalReferences>
  <definedNames>
    <definedName name="_Hlk534700986" localSheetId="0">'APP '!$C$2</definedName>
    <definedName name="_Indicate_Name">[1]PPMP!#REF!</definedName>
    <definedName name="_xlnm.Print_Area" localSheetId="0">'APP '!$A$1:$O$72</definedName>
    <definedName name="_xlnm.Print_Area" localSheetId="3">Guide!$A$1:$G$23</definedName>
    <definedName name="_xlnm.Print_Area" localSheetId="4">'Updated APP Illustration'!$A$1:$D$8</definedName>
    <definedName name="_xlnm.Print_Titles" localSheetId="0">'APP '!$1:$13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6fPngFE1Rvtuwl1vScbitYRNirp2tsY1tnx4ZxX9sWk="/>
    </ext>
  </extLst>
</workbook>
</file>

<file path=xl/calcChain.xml><?xml version="1.0" encoding="utf-8"?>
<calcChain xmlns="http://schemas.openxmlformats.org/spreadsheetml/2006/main">
  <c r="C3" i="22" l="1"/>
  <c r="C9" i="22" l="1"/>
  <c r="C30" i="22" l="1"/>
  <c r="O48" i="19"/>
  <c r="C15" i="22"/>
  <c r="C13" i="22"/>
  <c r="H1" i="21"/>
  <c r="C1" i="21"/>
  <c r="C35" i="21"/>
  <c r="C27" i="21"/>
  <c r="B45" i="21"/>
  <c r="B46" i="21"/>
  <c r="M16" i="19" l="1"/>
  <c r="R19" i="19"/>
  <c r="Q19" i="19"/>
  <c r="P19" i="19"/>
  <c r="M19" i="19" s="1"/>
  <c r="S18" i="19"/>
  <c r="R18" i="19"/>
  <c r="Q18" i="19"/>
  <c r="P18" i="19"/>
  <c r="M18" i="19" s="1"/>
  <c r="Q22" i="19" l="1"/>
  <c r="M33" i="19"/>
  <c r="M63" i="19" s="1"/>
  <c r="C31" i="22" s="1"/>
  <c r="M62" i="19" l="1"/>
  <c r="K58" i="19" l="1"/>
</calcChain>
</file>

<file path=xl/sharedStrings.xml><?xml version="1.0" encoding="utf-8"?>
<sst xmlns="http://schemas.openxmlformats.org/spreadsheetml/2006/main" count="569" uniqueCount="260">
  <si>
    <t>Total Amount of Estimated Budget for EPA Projects:</t>
  </si>
  <si>
    <t>PAP Code</t>
  </si>
  <si>
    <t>Object Code, as applicable
(Refers to the funding code as specified in the Technical GAA)</t>
  </si>
  <si>
    <t>Start of Procurement Activity</t>
  </si>
  <si>
    <t>Column 1</t>
  </si>
  <si>
    <t>Column 2</t>
  </si>
  <si>
    <t>Column 3</t>
  </si>
  <si>
    <t>Column 4</t>
  </si>
  <si>
    <t>Column 5</t>
  </si>
  <si>
    <t>Column 6</t>
  </si>
  <si>
    <t>Column 7</t>
  </si>
  <si>
    <t>Column 8</t>
  </si>
  <si>
    <t>Column 9</t>
  </si>
  <si>
    <t>Column 10</t>
  </si>
  <si>
    <t>Column 11</t>
  </si>
  <si>
    <t>Column 12</t>
  </si>
  <si>
    <t>Early and Regular Procurement Activities</t>
  </si>
  <si>
    <t>Competitive Bidding</t>
  </si>
  <si>
    <t>N/A</t>
  </si>
  <si>
    <t/>
  </si>
  <si>
    <t>Prepared by:</t>
  </si>
  <si>
    <t>Recommended by:</t>
  </si>
  <si>
    <t>Approved by:</t>
  </si>
  <si>
    <t>(By the Authority of the Bids and Awards Committee)</t>
  </si>
  <si>
    <t>Bids and Awards Committee Chairperson</t>
  </si>
  <si>
    <t>ANNUAL PROCUREMENT PLAN FOR FY ______</t>
  </si>
  <si>
    <t>PROCUREMENT PROJECT DETAILS</t>
  </si>
  <si>
    <t>PROJECTED TIMELINE (MM/YYYY)</t>
  </si>
  <si>
    <t>FUNDING DETAILS</t>
  </si>
  <si>
    <t>Remarks
 (Other relevant descriptions of the  procurement project, if applicable)</t>
  </si>
  <si>
    <t>End-User or Implementing Unit</t>
  </si>
  <si>
    <t xml:space="preserve">General Description of the Project </t>
  </si>
  <si>
    <t xml:space="preserve">Mode of Procurement </t>
  </si>
  <si>
    <t xml:space="preserve">Criteria for Bid Evaluation  (Including Sustainability and Domestic Preference) </t>
  </si>
  <si>
    <t xml:space="preserve">End of Procurement Activity </t>
  </si>
  <si>
    <t>Source of Fund</t>
  </si>
  <si>
    <t>Estimated Budget / Approved Budget for the Contract (PhP)</t>
  </si>
  <si>
    <t xml:space="preserve">Indicate Yes/No. </t>
  </si>
  <si>
    <t>General Requirements</t>
  </si>
  <si>
    <t>Common Use Supplies and Equipment (CSE) to be purchased from PS-DBM (kindly indicate the summary/total amounts only)</t>
  </si>
  <si>
    <t>Note: Insert additional rows as necessary</t>
  </si>
  <si>
    <t xml:space="preserve">Total Amount of Estimated Budget: </t>
  </si>
  <si>
    <t>Signature over Printed Name</t>
  </si>
  <si>
    <t>Date : _________________</t>
  </si>
  <si>
    <t xml:space="preserve">Criteria for Bid Evaluation  (Including Sustainability &amp; Domestic Preference) </t>
  </si>
  <si>
    <t>Column No.</t>
  </si>
  <si>
    <t>Particular</t>
  </si>
  <si>
    <t>Basis/References, if any</t>
  </si>
  <si>
    <t>Column No. 2</t>
  </si>
  <si>
    <t>Column No. 3</t>
  </si>
  <si>
    <t>Column No. 4</t>
  </si>
  <si>
    <t>Column No. 5</t>
  </si>
  <si>
    <t>Column No. 6</t>
  </si>
  <si>
    <t>Column No. 7</t>
  </si>
  <si>
    <t>Column No. 8</t>
  </si>
  <si>
    <t>Column No. 9</t>
  </si>
  <si>
    <t>End of Procurement Activity</t>
  </si>
  <si>
    <t>Column No. 10</t>
  </si>
  <si>
    <t>Source of Funds</t>
  </si>
  <si>
    <t>Column No. 11</t>
  </si>
  <si>
    <t>Column No. 12</t>
  </si>
  <si>
    <r>
      <rPr>
        <b/>
        <sz val="20"/>
        <color rgb="FF000000"/>
        <rFont val="Symbol"/>
        <family val="1"/>
        <charset val="2"/>
      </rPr>
      <t xml:space="preserve">   </t>
    </r>
    <r>
      <rPr>
        <b/>
        <sz val="20"/>
        <color rgb="FF000000"/>
        <rFont val="Arial"/>
        <family val="2"/>
      </rPr>
      <t>INDICATIVE               FINAL               UPDATED [Version No. _____]</t>
    </r>
  </si>
  <si>
    <t xml:space="preserve">PROCUREMENT STRATEGY OR TOOLS  </t>
  </si>
  <si>
    <t>REMARKS
 (Other relevant descriptions of the  procurement project, if applicable)</t>
  </si>
  <si>
    <t xml:space="preserve">Project Title  </t>
  </si>
  <si>
    <r>
      <t xml:space="preserve">General Description of the Procurement Project
</t>
    </r>
    <r>
      <rPr>
        <b/>
        <sz val="16"/>
        <color rgb="FFFF0000"/>
        <rFont val="Arial"/>
        <family val="2"/>
      </rPr>
      <t xml:space="preserve"> (IRR of RA 12009- Section 7.7.2c)</t>
    </r>
  </si>
  <si>
    <t>To be covered by an Early Procurement Activity? (Yes/No)</t>
  </si>
  <si>
    <t>Miscellaneous Items (for Direct Acquisition only) Sec 32.2 of RA No. 12009</t>
  </si>
  <si>
    <t>Total Amount of CSEs to be purchased from PS-DBM:</t>
  </si>
  <si>
    <t>Head of the Procuring Entity</t>
  </si>
  <si>
    <t xml:space="preserve">Guide to Filling Out the APP Form </t>
  </si>
  <si>
    <t>Notes</t>
  </si>
  <si>
    <t>Illustrations / Examples</t>
  </si>
  <si>
    <t>Illustration/Examples (PPMP)</t>
  </si>
  <si>
    <t>Goods</t>
  </si>
  <si>
    <t>Infrastructure</t>
  </si>
  <si>
    <t>Consulting</t>
  </si>
  <si>
    <t>General Services</t>
  </si>
  <si>
    <t>Heading</t>
  </si>
  <si>
    <t>Agency Letterhead with Logo Name of Procurement Project</t>
  </si>
  <si>
    <t xml:space="preserve">Insert the official agency letterhead, including the agency name and logo at the top of the form for proper identification and authenticity of the submitted APP. </t>
  </si>
  <si>
    <t>-</t>
  </si>
  <si>
    <t xml:space="preserve">Implementing Rules and Regulations (IRR)  of Republic Act (RA) No. 12009 - Section 7.7.2 and 7.7.5 </t>
  </si>
  <si>
    <r>
      <t xml:space="preserve">
Indicate the applicable Fiscal Year (FY)  in the blank space provided on the second row of the form. Then, place a checkmark (✔) in the appropriate box to identify the nature of the submission—whether it is an Indicative APP, the Final APP, or a versioned Updated APP (e.g., Version 1-Q1, Version 2-Q2, etc.), as applicable.
Types of APP:
a. Indicative APP 
Check this box if the submission consolidates Indicative Project Procurement Management Plans (PPMPs) for inclusion in the budget proposal for the succeeding fiscal year. The Indicative APP is prepared by the BAC Secretariat based on the PPMPs submitted by End-User or Implementing Unit and accordingly updated upon receipt  of revised PPMPs that reflect the budgetary allocations indicated in the National Expenditure Program (NEP), proposed Corporate Operating Budget, or Local Expenditure Program, as applicable.  The indicative APP/s are submitted to the BAC for its final recommendation to the Head of the Procuring Entity (HoPE) on the appropriate mode of procurement. 
b. Final APP 
Check this box if the submission consolidates the revised PPMPs following the approval of, and in accordance with, the General Appropriations Act (GAA), Corporate Budget, or Appropriations Ordinance, as applicable to your entity. This serves as the final APP to be implemented for the fiscal year and shall be consistent with the final approved budget allocations. The final APP is prepared by the BAC Secretariat, which shall be recommended by the BAC for approval of the HoPE.  
c. Updated APP
Check this box if the submission is an updated version of the APP, reflecting changes made after the approval of the Final APP. The updated APP presents a complete record of all procurement projects and activities for the year, including both revised items (e.g., changes in schedule, mode of procurement, scope, or budget) and those originally included in the Final APP without any modifications. To enhance visibility, the entire row of newly added or revised items are highlighted, and the specific changes shall be shown in </t>
    </r>
    <r>
      <rPr>
        <b/>
        <sz val="12"/>
        <color rgb="FF000000"/>
        <rFont val="Arial"/>
        <family val="2"/>
      </rPr>
      <t>bold font</t>
    </r>
    <r>
      <rPr>
        <sz val="12"/>
        <color rgb="FF000000"/>
        <rFont val="Arial"/>
        <family val="2"/>
      </rPr>
      <t xml:space="preserve"> in the updated APP. Each version must be clearly labeled with a version number and date (e.g., Version 1, Version 2) to distinguish it from earlier submissions. 
</t>
    </r>
  </si>
  <si>
    <t>Column No. 1</t>
  </si>
  <si>
    <t>Project Title</t>
  </si>
  <si>
    <t>IRR of RA No. 12009 Sec 7.7.2 (a)</t>
  </si>
  <si>
    <r>
      <t xml:space="preserve">Provide a specific, action-based title that clearly describes the main deliverables and scope of the procurement project.
</t>
    </r>
    <r>
      <rPr>
        <b/>
        <sz val="12"/>
        <color rgb="FF000000"/>
        <rFont val="Arial"/>
        <family val="2"/>
      </rPr>
      <t>NOTE</t>
    </r>
    <r>
      <rPr>
        <sz val="12"/>
        <color rgb="FF000000"/>
        <rFont val="Arial"/>
        <family val="2"/>
      </rPr>
      <t>: List each lot of a project on a separate row, if applicable.</t>
    </r>
  </si>
  <si>
    <t>Supply and Delivery of Various Materials under a Framework Agreement for the Implementation of the Billy Bayong Program for the National Roads and Bridges Unit, X Office, Brgy. X, Municipality of X, X City</t>
  </si>
  <si>
    <t xml:space="preserve">Improvement/Repair of Facilities/Buildings &amp; Structures of the Proposed Construction of Billy Bayong Sports Complex </t>
  </si>
  <si>
    <t>Procurement of Technical Assistance for QMS Implementation towards ISO 9001:2015 Certification</t>
  </si>
  <si>
    <t>Lot 1 – Supply and Delivery of 14,000 pieces of short-sleeved T-Shirts with Customized Print and 14,000 pcs. handtowels 8 inches x 12 inches</t>
  </si>
  <si>
    <t>Lot 2 – Supply and Delivery of 2,200 pieces of Standard Shovels and 1,300 pieces of Heavy-Duty Wheelbarrows</t>
  </si>
  <si>
    <t>Supply and Delivery of Uniform long sleeve T-shirt with Print, Shovel and Wheelbarrow for Billy Bayong Program of our National Road and Bridges, X Office, Brgy. X, Municipality of X, X City</t>
  </si>
  <si>
    <t>Improvement/Repair of Facilities/Buildings &amp; Structures (Regular)/ Proposed Construction of Billy Bayong Sports Complex – XX Region, Covered Walkway/Acquisition of Furniture and Fixture/ Acquisition of Machinery and Equipment to be undertaken by Administration</t>
  </si>
  <si>
    <t xml:space="preserve">Engagement of a consulting firm to conduct feasibility study for the establishment of a shared service facility in the province of XX </t>
  </si>
  <si>
    <t>Maintenance of the Office Building/Comfort Rooms including P/Function Hall (repairs/ repainting)</t>
  </si>
  <si>
    <t>IRR of RA No. 12009 Sec 7.7.2 (b)</t>
  </si>
  <si>
    <t>Indicate the name of implementing unit or office, or project management office.  In case of multiple end-users, all units shall be indicated.</t>
  </si>
  <si>
    <t>Administrative and General Services Division</t>
  </si>
  <si>
    <t>Engineering Services Division</t>
  </si>
  <si>
    <t>Office of the Governor</t>
  </si>
  <si>
    <t xml:space="preserve">Infrastructure </t>
  </si>
  <si>
    <t>Consulting Services</t>
  </si>
  <si>
    <t>IRR of RA No. 12009 Sec 7.7.2 (c)</t>
  </si>
  <si>
    <t xml:space="preserve">
Provide a brief and specific description of the project, including its type of procurement (e.g., Goods, General Services, Infrastructure Project [Civil Works], or Consulting Services)
</t>
  </si>
  <si>
    <t>Supply and Delivery of Uniform short sleeved T-shirt with Print and handtowels, Shovel and Wheelbarrow for Billy Bayong Program - (Goods)</t>
  </si>
  <si>
    <t xml:space="preserve"> Improvement/Repair of Facilities/Buildings &amp; Structures / Proposed Construction of Billy Bayong Sports Complex (Infrastructure) to be undertaken by Administration</t>
  </si>
  <si>
    <t xml:space="preserve">Engagement of a consulting firm to provide Technical Assistance for QMS Implementation towards ISO 9001:2015 Certification 
(Consulting Services) </t>
  </si>
  <si>
    <t>14,000 pcs. Uniform long sleeve T-shirt with Print, 2,200 pcs. Shovel and 1,300 pcs. Wheel Barrow</t>
  </si>
  <si>
    <t>One (1) Lot</t>
  </si>
  <si>
    <t xml:space="preserve">One (Lot) </t>
  </si>
  <si>
    <t>Seven (7) Lots</t>
  </si>
  <si>
    <t>IRR of RA No. 12009 Sec 7.7.2 (d)</t>
  </si>
  <si>
    <t>Indicate applicable procurement mode under RA No. 12009 recommended by the Bids and Awards Committee</t>
  </si>
  <si>
    <t>N/A (To be undertaken by Administration)</t>
  </si>
  <si>
    <t>Negotiated Procurement – Highly Technical Consultant</t>
  </si>
  <si>
    <t>Negotiated Procurement - Highliy Technical Consultant</t>
  </si>
  <si>
    <t>Small Value Procurement</t>
  </si>
  <si>
    <t>To be covered by an Early Procurement Activity?</t>
  </si>
  <si>
    <t>IRR of RA No. 12009 Sec 7.7.2 (i)</t>
  </si>
  <si>
    <t>No</t>
  </si>
  <si>
    <t>Yes</t>
  </si>
  <si>
    <t>IRR of RA No. 12009 Sec 7.7.2 (e)</t>
  </si>
  <si>
    <r>
      <t xml:space="preserve">Choose among: 1. Lowest Calculated Responsive Bid or LCRB 2. Most Economically Advantageous Responsive Bid or MEARB – for quality-cost criteria including </t>
    </r>
    <r>
      <rPr>
        <b/>
        <sz val="12"/>
        <color rgb="FF000000"/>
        <rFont val="Arial"/>
        <family val="2"/>
      </rPr>
      <t>environmental / social factors</t>
    </r>
    <r>
      <rPr>
        <sz val="12"/>
        <color rgb="FF000000"/>
        <rFont val="Arial"/>
        <family val="2"/>
      </rPr>
      <t xml:space="preserve"> 3. Most Advantageous Responsive Bid or MARB/Highest/Single Rated Responsive Bid or HRRB/SRRB 4. Lowest Comparative or Competitive Responsive Bid or LCCRB 
</t>
    </r>
    <r>
      <rPr>
        <b/>
        <sz val="12"/>
        <color rgb="FF000000"/>
        <rFont val="Arial"/>
        <family val="2"/>
      </rPr>
      <t>NOTE:</t>
    </r>
    <r>
      <rPr>
        <sz val="12"/>
        <color rgb="FF000000"/>
        <rFont val="Arial"/>
        <family val="2"/>
      </rPr>
      <t xml:space="preserve"> If using MEARB, ensure sustainability indicators are in technical specifications.</t>
    </r>
  </si>
  <si>
    <t>LCRB</t>
  </si>
  <si>
    <t>HRRB</t>
  </si>
  <si>
    <t xml:space="preserve">04/2026
</t>
  </si>
  <si>
    <t xml:space="preserve">02/2026
</t>
  </si>
  <si>
    <t xml:space="preserve">03/2026
</t>
  </si>
  <si>
    <t>IRR of RA No. 12009 Sec 7.7.2 (f)</t>
  </si>
  <si>
    <t xml:space="preserve">
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</si>
  <si>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05/2025
</t>
  </si>
  <si>
    <t xml:space="preserve">05/2026
</t>
  </si>
  <si>
    <t>Indicate the projected month and year (MM/YYYY) of issuance of Notice of Award or Purchase Order, as the case may be, based on the prescribed procurement timelines of the applicable mode of procurement used by the Procuring Entity.</t>
  </si>
  <si>
    <t xml:space="preserve">07/2025
</t>
  </si>
  <si>
    <t xml:space="preserve">06/2026 to 06/2028
</t>
  </si>
  <si>
    <t xml:space="preserve">05/2026 to 08/2026
</t>
  </si>
  <si>
    <t>IRR of RA No. 12009 Sec 7.7.2 (g)</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</si>
  <si>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Ensure consistency with the agency’s approved budget document.</t>
  </si>
  <si>
    <t>GAA 2026 - Current Appropriation</t>
  </si>
  <si>
    <t>GAA 2024 - Continuing Appropriation</t>
  </si>
  <si>
    <t>Internally - Generated Income</t>
  </si>
  <si>
    <t>GAA 2026 - Current</t>
  </si>
  <si>
    <t>GAA 2024 - Continuing</t>
  </si>
  <si>
    <t>Internally Generated Income</t>
  </si>
  <si>
    <t>GAA 2025 - Current</t>
  </si>
  <si>
    <t>IRR of RA No. 12009 Sec 7.7.2 (h)</t>
  </si>
  <si>
    <t>Indicate the estimated budget for each procurement project or lot, based on the End-User's approved PPMP. Once the General Appropriations Act (GAA), Corporate Operating Budget, or Appropriations Ordinance is approved, reflect the Approved Budget for the Contract (ABC), as applicable.</t>
  </si>
  <si>
    <t xml:space="preserve"> ₱12,499,544.00 </t>
  </si>
  <si>
    <t xml:space="preserve"> ₱15,900,000.00 </t>
  </si>
  <si>
    <t xml:space="preserve"> ₱750,000.00 </t>
  </si>
  <si>
    <t>Procurement Strategy or Tools</t>
  </si>
  <si>
    <t>IRR of RA No. 12009 Sec 7.7.2 (k)</t>
  </si>
  <si>
    <t xml:space="preserve">Indicate if the Procuring Entity shall use one or more of any of the following strategies: 
1) Life Cycle Assessment (LCA) and Life Cycle Cost Analysis (LCCA)- 
2) Subcontracting - 
3) Multi-Year Contracting 
4) Design-and-Build Scheme for Infrastructure Projects 
5) Engagement of a Procurement Agent 
6) Use of Framework Agreement Section 
7) Pooled Procurement Section 17 
8) Renewal of Regular and Recurring Services - 
9) Warehousing and Inventory Activities 
</t>
  </si>
  <si>
    <t>Use of Framework Agreement</t>
  </si>
  <si>
    <t>Design-and-Build Scheme</t>
  </si>
  <si>
    <t>Technical Specifications and Market Scoping Checklist</t>
  </si>
  <si>
    <t>SOW, Engg. Plan, Market Scoping Checklist, Feasibility Study</t>
  </si>
  <si>
    <t>TOR, Market Scoping  Checklist</t>
  </si>
  <si>
    <t>SOW, Market Scoping Checklist</t>
  </si>
  <si>
    <t>IRR of RA No. 12009 Sec 7.7.2 (j)</t>
  </si>
  <si>
    <t>Provide additional details of the project. This may include, but is not limited to  the following:
a. Basis of change/s from previously submitted APP (e.g., change in scope, mode, schedule, or budget).
b. Contract package details : i.e, estimated budget for the whole project in case of multi-year contracts.
c. Information whether the procurement project consider the marginalized sector (start ups, social businesses, microenterprises and vulnerable sectors) , as applicable, in accordance with Sec.75.5 of the IRR of RA 12009.</t>
  </si>
  <si>
    <t>One-time requirement for newly created satellite office; targets MSME supplier</t>
  </si>
  <si>
    <t>Phase 1 of 2-year infrastructure program; will employ local labor/military personnel assigned in the area, by Administration</t>
  </si>
  <si>
    <t xml:space="preserve">New strategic direction requested by the Governor; involves agri-cooperatives and investigation in terms </t>
  </si>
  <si>
    <t>Updated ABC due to bid failure under BAC Resolution No. xx-2026</t>
  </si>
  <si>
    <t>To be undertaken by Administration c/o the Engineering Department</t>
  </si>
  <si>
    <t>For Early Procurement Activity</t>
  </si>
  <si>
    <r>
      <rPr>
        <b/>
        <i/>
        <sz val="11"/>
        <color rgb="FF000000"/>
        <rFont val="Arial"/>
        <family val="2"/>
      </rPr>
      <t xml:space="preserve">Updated APP illustration: 
</t>
    </r>
    <r>
      <rPr>
        <i/>
        <sz val="9.35"/>
        <color rgb="FF000000"/>
        <rFont val="Arial"/>
        <family val="2"/>
      </rPr>
      <t>Two APP versions are shown below: the Final APP or last APP version and the Updated APP version. The Updated APP includes both revised items (with changes in schedule, mode, or ABC, as the case may be) and unchanged items from the previous version.  In this way, the Updated APP version provides a clear and complete view of all procurement activities and makes it easier to track any changes made. Examples of procurement projects are included to illustrate the types of revisions and how they are reflected in the Updated APP.</t>
    </r>
  </si>
  <si>
    <r>
      <rPr>
        <b/>
        <i/>
        <u/>
        <sz val="11"/>
        <color rgb="FF000000"/>
        <rFont val="Arial"/>
        <family val="2"/>
      </rPr>
      <t xml:space="preserve">FINAL APP - (Approved General Appropriations Act -based) 
</t>
    </r>
    <r>
      <rPr>
        <i/>
        <sz val="11"/>
        <color rgb="FF000000"/>
        <rFont val="Arial"/>
        <family val="2"/>
      </rPr>
      <t xml:space="preserve">
1.Name of  Procurement Project: Supply and Delivery of Laptops for Regional Training Centers
Mode of Procurement: Small Value Procurement
Start of Procurement Activity: February 2025
ABC (Php):  1,500,000.00
Remarks: Original entry
2. Name of  Procurement Project: Procurement of Modular Office Furniture for Newly Renovated Division Offices
Mode of Procurement: Public Bidding
ABC (Php): 3,000.000.00
Remarks: Original Entry
3. Name of  Procurement Project: Acquisition of Color Printers and High-Capacity Scanners for Field Units
Mdde of Procurement: Public Bidding
ABC (Php): 500,000.00
Remarks : Original Entry
</t>
    </r>
  </si>
  <si>
    <r>
      <rPr>
        <b/>
        <i/>
        <u/>
        <sz val="11"/>
        <color rgb="FF000000"/>
        <rFont val="Arial"/>
        <family val="2"/>
      </rPr>
      <t xml:space="preserve">UPDATED APP  Version 6
 (June 28, 2025)
</t>
    </r>
    <r>
      <rPr>
        <i/>
        <sz val="11"/>
        <color rgb="FF000000"/>
        <rFont val="Arial"/>
        <family val="2"/>
      </rPr>
      <t xml:space="preserve">
1.Name of  Procurement Project: 
Rehabilitation of Classrooms in Calamba National High School
Mode of Procurement: Public Bidding
ABC (Php):  4,500,000.00
Remarks: Revised ABC as of Updated APP Version 3
2. Name of  Procurement Project: 
Construction of 2-Storey, 6-Classroom School Building in San Pedro East Central School
Mode of Procurement: Public Bidding
ABC (Php): 10,200.000.00
Remarks: Original Entry
</t>
    </r>
  </si>
  <si>
    <r>
      <rPr>
        <b/>
        <i/>
        <u/>
        <sz val="11"/>
        <color rgb="FF000000"/>
        <rFont val="Arial"/>
        <family val="2"/>
      </rPr>
      <t xml:space="preserve">UPDATED APP: Version 2
(April 28, 2025)
</t>
    </r>
    <r>
      <rPr>
        <i/>
        <sz val="11"/>
        <color rgb="FF000000"/>
        <rFont val="Arial"/>
        <family val="2"/>
      </rPr>
      <t xml:space="preserve">
1.   Name of Procurement Project:
Preparation of Feasibility Study for the Construction of Regional Training Center – Region V
 Mode of Procurement: Public Bidding
 ABC (Php): 3,200,000.00
 Remarks: Original Entry
2.  Name of Procurement Project:
Hiring of Third-Party Auditor for FY 2024 Infrastructure Projects
Mode of Procurement: Small Value Procurement
ABC (Php): 1,000,000.00
 Remarks: Original Entry
</t>
    </r>
  </si>
  <si>
    <r>
      <rPr>
        <b/>
        <i/>
        <u/>
        <sz val="11"/>
        <color rgb="FF000000"/>
        <rFont val="Arial"/>
        <family val="2"/>
      </rPr>
      <t xml:space="preserve">UPDATED APP: Version 2 
(15 March 2025)
</t>
    </r>
    <r>
      <rPr>
        <i/>
        <sz val="11"/>
        <color rgb="FF000000"/>
        <rFont val="Arial"/>
        <family val="2"/>
      </rPr>
      <t xml:space="preserve">
1.Name of  Procurement Project: Supply and Delivery of Laptops for Regional Training Centers
Mode of Procurement: </t>
    </r>
    <r>
      <rPr>
        <b/>
        <i/>
        <sz val="11"/>
        <color rgb="FF000000"/>
        <rFont val="Arial"/>
        <family val="2"/>
      </rPr>
      <t xml:space="preserve">Public Bidding
</t>
    </r>
    <r>
      <rPr>
        <i/>
        <sz val="11"/>
        <color rgb="FF000000"/>
        <rFont val="Arial"/>
        <family val="2"/>
      </rPr>
      <t xml:space="preserve">Start of Procurement Activity: February 2025
ABC (Php):  </t>
    </r>
    <r>
      <rPr>
        <b/>
        <i/>
        <sz val="11"/>
        <color rgb="FF000000"/>
        <rFont val="Arial"/>
        <family val="2"/>
      </rPr>
      <t xml:space="preserve">2,500,000.00
</t>
    </r>
    <r>
      <rPr>
        <i/>
        <sz val="11"/>
        <color rgb="FF000000"/>
        <rFont val="Arial"/>
        <family val="2"/>
      </rPr>
      <t xml:space="preserve">Remarks: Revised Mode of Procurement and ABC due to inclusion of additional laptops.
2. Name of  Procurement Project: Procurement of Modular Office Furniture for Newly Renovated Division Offices
Mode of Procurement: Public Bidding
Start of Procurement Activity: </t>
    </r>
    <r>
      <rPr>
        <b/>
        <i/>
        <sz val="11"/>
        <color rgb="FF000000"/>
        <rFont val="Arial"/>
        <family val="2"/>
      </rPr>
      <t xml:space="preserve">May 2025
</t>
    </r>
    <r>
      <rPr>
        <i/>
        <sz val="11"/>
        <color rgb="FF000000"/>
        <rFont val="Arial"/>
        <family val="2"/>
      </rPr>
      <t>ABC (Php): 3,000.000.00
Remarks: Revised schedule aligned with renovation completion
3. Name of  Procurement Project: Acquisition of Color Printers and High-Capacity Scanners for Field Units
Mdde of Procurement: Public Bidding
ABC (Php): 500,000.00
Remarks : Original Entry</t>
    </r>
  </si>
  <si>
    <r>
      <rPr>
        <b/>
        <i/>
        <u/>
        <sz val="11"/>
        <color rgb="FF000000"/>
        <rFont val="Arial"/>
        <family val="2"/>
      </rPr>
      <t xml:space="preserve">UPDATED APP: Version 7 
(30 August  2025)
</t>
    </r>
    <r>
      <rPr>
        <i/>
        <sz val="11"/>
        <color rgb="FF000000"/>
        <rFont val="Arial"/>
        <family val="2"/>
      </rPr>
      <t xml:space="preserve">
1.Name of  Procurement Project: 
Rehabilitation of Classrooms in Calamba National High School
Mode of Procurement: </t>
    </r>
    <r>
      <rPr>
        <b/>
        <i/>
        <sz val="11"/>
        <color rgb="FF000000"/>
        <rFont val="Arial"/>
        <family val="2"/>
      </rPr>
      <t xml:space="preserve">Negotiated  Procurement -Two-Failed Bidding 
</t>
    </r>
    <r>
      <rPr>
        <i/>
        <sz val="11"/>
        <color rgb="FF000000"/>
        <rFont val="Arial"/>
        <family val="2"/>
      </rPr>
      <t xml:space="preserve">ABC (Php):  4,500,000.00
Remarks: Revised Mode of Procurement 
2. Name of  Procurement Project: 
Construction of 2-Storey, 6-Classroom School Building in San Pedro East Central School
Mode of Procurement: Public Bidding
ABC (Php): 10,200.000.00
Remarks: Original Entry
3. </t>
    </r>
    <r>
      <rPr>
        <b/>
        <i/>
        <sz val="11"/>
        <color rgb="FF000000"/>
        <rFont val="Arial"/>
        <family val="2"/>
      </rPr>
      <t>Name of  Procurement Project: Repair and Waterproofing of Administrative Building Roof in Tanauan Division Office
Mode of Procurement: Negotiated Procurement – Emergency Cases
ABC (Php): 1,500,000.00
Remarks : New Item due to damages brought by Typhoon Odeng</t>
    </r>
  </si>
  <si>
    <r>
      <rPr>
        <b/>
        <i/>
        <u/>
        <sz val="11"/>
        <color rgb="FF000000"/>
        <rFont val="Arial"/>
        <family val="2"/>
      </rPr>
      <t xml:space="preserve">UPDATED APP: Version 3 
(June 28, 2025)
</t>
    </r>
    <r>
      <rPr>
        <i/>
        <sz val="11"/>
        <color rgb="FF000000"/>
        <rFont val="Arial"/>
        <family val="2"/>
      </rPr>
      <t xml:space="preserve">
1. Name of Procurement Project:
 Preparation of Feasibility Study for the Construction of Regional Training Center – Region V
Mode of Procurement: </t>
    </r>
    <r>
      <rPr>
        <b/>
        <i/>
        <sz val="11"/>
        <color rgb="FF000000"/>
        <rFont val="Arial"/>
        <family val="2"/>
      </rPr>
      <t xml:space="preserve">Negotiated Procurement – Two-Failed Biddings
</t>
    </r>
    <r>
      <rPr>
        <i/>
        <sz val="11"/>
        <color rgb="FF000000"/>
        <rFont val="Arial"/>
        <family val="2"/>
      </rPr>
      <t xml:space="preserve"> ABC (Php): 3,200,000.00
Remarks: Revised Mode of Procurement 
2. Name of Procurement Project:
 Hiring of Third-Party Auditor for FY 2024 Infrastructure Projects
Mode of Procurement: Small Value Procurement
ABC (Php): 1,000,000.00
Remarks: Original Entry
3.</t>
    </r>
    <r>
      <rPr>
        <b/>
        <i/>
        <sz val="11"/>
        <color rgb="FF000000"/>
        <rFont val="Arial"/>
        <family val="2"/>
      </rPr>
      <t>Name of Procurement Project:
Conduct of Independent Assessment on Agency Performance for FY 2024
Mode of Procurement: Public Bidding
ABC (Php):1,500,000.00
Remarks: New Item to support  agency implementation</t>
    </r>
  </si>
  <si>
    <t>ANNUAL PROCUREMENT PLAN FOR FY 2026</t>
  </si>
  <si>
    <t>Procurement of Common-Used Supplies and Equipment (CSE) with PS-DBM</t>
  </si>
  <si>
    <t>PSU</t>
  </si>
  <si>
    <t>NP - Agency-to-Agency</t>
  </si>
  <si>
    <t>NEP 2026</t>
  </si>
  <si>
    <t>Procurement of Catering Services for the conduct of various activities to be held at SDO Proper and its schools in line with the Program and Projects set by the division</t>
  </si>
  <si>
    <t>OSDS</t>
  </si>
  <si>
    <t>01/2026</t>
  </si>
  <si>
    <t>12/2026</t>
  </si>
  <si>
    <t>Training Expenses</t>
  </si>
  <si>
    <t>Procurement of Drugs and Medicines to be used during the Sports Activities</t>
  </si>
  <si>
    <t>HNU</t>
  </si>
  <si>
    <t>Direct Acquisition</t>
  </si>
  <si>
    <t>03/2026</t>
  </si>
  <si>
    <t>04/2026</t>
  </si>
  <si>
    <t>Procurement of Petroleum Fuel, Oil and Lubricant (POL) for issued government vehicles</t>
  </si>
  <si>
    <t>Admininstrative Services</t>
  </si>
  <si>
    <t>Procurement of Supply, Delviery and Installation of Air Conditioning Unit for HNU</t>
  </si>
  <si>
    <t>Procurement of Other Supplies and Materials Expenses</t>
  </si>
  <si>
    <t>Procurement of Design and Built of Paruparo Float for the Magical Paruparo Festival 2026 Float Competition to be held on November 26, 2026</t>
  </si>
  <si>
    <t>10/2026</t>
  </si>
  <si>
    <t>11/2026</t>
  </si>
  <si>
    <t>Procurement of Supplies and Materials for Cultural Program</t>
  </si>
  <si>
    <t>CID</t>
  </si>
  <si>
    <t>Procurement of Flowers and Chocolates in celebration of Valentines Day</t>
  </si>
  <si>
    <t>02/2026</t>
  </si>
  <si>
    <t>Procurement of Potable Drinking Water for daily consumption</t>
  </si>
  <si>
    <t>Procurement of Automotive Supplies for government issued vehicle</t>
  </si>
  <si>
    <t>Procurement of Other Supplies and Materials Expenses thru Petty Cash</t>
  </si>
  <si>
    <t>05/2026</t>
  </si>
  <si>
    <t>Direct Retail Purchase of Petroleum Fuel, Oil and Lubricant
Products, Electronic Charging Devices, and Online
Subscriptions.</t>
  </si>
  <si>
    <t>Lease of Real Property and Venue</t>
  </si>
  <si>
    <t>Fuel, Oil and Lubricants Expenses</t>
  </si>
  <si>
    <t>Drugs and Medicines Expenses</t>
  </si>
  <si>
    <t>Other Supplies and Materials Expenses</t>
  </si>
  <si>
    <t>Office Equipment Expenses</t>
  </si>
  <si>
    <t>Procurement of Lease of Real Property and Venue for the conduct of various activities in line with the Program and Projects set by the division</t>
  </si>
  <si>
    <t>Procurement of Tokens, Plaques, and Medals for various activities and competitions initiated by the division</t>
  </si>
  <si>
    <t>SGOD-HRD</t>
  </si>
  <si>
    <t>Procurement of Repairs and Maintenance of CSDO Building</t>
  </si>
  <si>
    <t>SGOD</t>
  </si>
  <si>
    <t>Procurement of Repair and Maintenance of Office Equipment</t>
  </si>
  <si>
    <t>Procurement of Repair and Maintenance of Motor Vehicle for government issued vehicle</t>
  </si>
  <si>
    <t>Rewards and Incentives Expenses</t>
  </si>
  <si>
    <t>Repair and Maintenance of School Building and other Structures Expenses</t>
  </si>
  <si>
    <t>Repair and Maintenance of Office Equipment Expenses</t>
  </si>
  <si>
    <t>Repair and Maintenance of Motor Vehicle Expenses</t>
  </si>
  <si>
    <t>Other Supplies and Materials Expenses not available in PS-DBM</t>
  </si>
  <si>
    <t>Renewal of Regular and Recurring Services</t>
  </si>
  <si>
    <t>Utility and Communication Expenses</t>
  </si>
  <si>
    <t>Water Expenses</t>
  </si>
  <si>
    <t>Direct Contracting</t>
  </si>
  <si>
    <t>Electricity Expenses</t>
  </si>
  <si>
    <t>Mobile Expenses</t>
  </si>
  <si>
    <t>Internet Subscription</t>
  </si>
  <si>
    <t>LCQ/LCRQ</t>
  </si>
  <si>
    <t>JESSICA V. GRIFALDO</t>
  </si>
  <si>
    <t>ELIAS A. ALICAYA, JR.</t>
  </si>
  <si>
    <t>Assistant Schools Division Superintendent/</t>
  </si>
  <si>
    <t>OIC - Schools Division Superintendent/</t>
  </si>
  <si>
    <t>Administrative Officer IV</t>
  </si>
  <si>
    <t>Procurement Unit</t>
  </si>
  <si>
    <r>
      <t xml:space="preserve">By the Authority of the Bids and Awards Committee:
</t>
    </r>
    <r>
      <rPr>
        <b/>
        <sz val="15"/>
        <color rgb="FF000000"/>
        <rFont val="Arial"/>
        <family val="2"/>
      </rPr>
      <t xml:space="preserve">
                         GALILEO L. GO</t>
    </r>
  </si>
  <si>
    <t>Procurement of Janitorial Supplies for daily consumption not available in PS-DBM</t>
  </si>
  <si>
    <t>Procurement of Flowers and Chocolates in celebration of Mothers Day</t>
  </si>
  <si>
    <t>Procurement of Tokens for the conduct of various activities in line with the Program and Projects set by the division</t>
  </si>
  <si>
    <t>Procurement of Flowers for the conduct of Gawad Sigasig 2026</t>
  </si>
  <si>
    <t>Procurement of Insurance for Government Issued Vehicle</t>
  </si>
  <si>
    <t>Insurance Expenses</t>
  </si>
  <si>
    <t xml:space="preserve">Procurement of Lease of Real Property and Venue for the conduct of Preparation and consolidation of  FY 2025 financial report
</t>
  </si>
  <si>
    <t>Early Procurement Activity</t>
  </si>
  <si>
    <t>Republic of the Philippines</t>
  </si>
  <si>
    <t>Department of Education</t>
  </si>
  <si>
    <t>Region IV-A CALABARZON</t>
  </si>
  <si>
    <t>City Schools Division of Dasmariñas</t>
  </si>
  <si>
    <t>25000-PAGAMUTAN</t>
  </si>
  <si>
    <t>RFID INCL 100000</t>
  </si>
  <si>
    <t>common</t>
  </si>
  <si>
    <t>osds</t>
  </si>
  <si>
    <t>sgod</t>
  </si>
  <si>
    <t>cid</t>
  </si>
  <si>
    <t>12/2025</t>
  </si>
  <si>
    <t>Human Resource Training and Development Expenses</t>
  </si>
  <si>
    <t>Procurement of Lease of Real Property and Venue for the conduct of various activities under Human Resource Training and Development in line with the Program and Projects set by the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</si>
</sst>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3409]dd\-mmm\-yy;@"/>
    <numFmt numFmtId="165" formatCode="_-[$₱-3409]* #,##0.00_-;\-[$₱-3409]* #,##0.00_-;_-[$₱-3409]* &quot;-&quot;??_-;_-@_-"/>
    <numFmt numFmtId="166" formatCode="[$₱-3409]#,##0.00"/>
  </numFmts>
  <fonts count="48">
    <font>
      <sz val="11"/>
      <color theme="1"/>
      <name val="Aptos Narrow"/>
      <scheme val="minor"/>
    </font>
    <font>
      <sz val="10"/>
      <color rgb="FF000000"/>
      <name val="Arial"/>
      <family val="2"/>
    </font>
    <font>
      <b/>
      <sz val="10"/>
      <color rgb="FF000000"/>
      <name val="Arial"/>
      <family val="2"/>
    </font>
    <font>
      <sz val="8"/>
      <name val="Aptos Narrow"/>
      <family val="2"/>
      <scheme val="minor"/>
    </font>
    <font>
      <sz val="10"/>
      <name val="Arial"/>
      <family val="2"/>
    </font>
    <font>
      <sz val="10"/>
      <color theme="1"/>
      <name val="Arial"/>
      <family val="2"/>
    </font>
    <font>
      <sz val="11"/>
      <color theme="1"/>
      <name val="Arial"/>
      <family val="2"/>
    </font>
    <font>
      <sz val="10"/>
      <color rgb="FF000000"/>
      <name val="Arial"/>
      <family val="2"/>
    </font>
    <font>
      <b/>
      <sz val="12"/>
      <color rgb="FF000000"/>
      <name val="Arial"/>
      <family val="2"/>
    </font>
    <font>
      <b/>
      <sz val="11"/>
      <color rgb="FF000000"/>
      <name val="Arial"/>
      <family val="2"/>
    </font>
    <font>
      <b/>
      <sz val="22"/>
      <color theme="3"/>
      <name val="Arial"/>
      <family val="2"/>
    </font>
    <font>
      <b/>
      <sz val="20"/>
      <color rgb="FF000000"/>
      <name val="Arial"/>
      <family val="2"/>
    </font>
    <font>
      <b/>
      <sz val="20"/>
      <color rgb="FF000000"/>
      <name val="Arial"/>
      <family val="1"/>
      <charset val="2"/>
    </font>
    <font>
      <b/>
      <sz val="20"/>
      <color rgb="FF000000"/>
      <name val="Symbol"/>
      <family val="1"/>
      <charset val="2"/>
    </font>
    <font>
      <i/>
      <sz val="11"/>
      <name val="Arial"/>
      <family val="2"/>
    </font>
    <font>
      <i/>
      <sz val="11"/>
      <color rgb="FF000000"/>
      <name val="Arial"/>
      <family val="2"/>
    </font>
    <font>
      <sz val="11"/>
      <color rgb="FF000000"/>
      <name val="Arial"/>
      <family val="2"/>
    </font>
    <font>
      <b/>
      <i/>
      <sz val="11"/>
      <color rgb="FF000000"/>
      <name val="Arial"/>
      <family val="2"/>
    </font>
    <font>
      <b/>
      <i/>
      <sz val="11"/>
      <color theme="1"/>
      <name val="Arial"/>
      <family val="2"/>
    </font>
    <font>
      <i/>
      <sz val="9.35"/>
      <color rgb="FF000000"/>
      <name val="Arial"/>
      <family val="2"/>
    </font>
    <font>
      <b/>
      <i/>
      <u/>
      <sz val="11"/>
      <color rgb="FF000000"/>
      <name val="Arial"/>
      <family val="2"/>
    </font>
    <font>
      <sz val="16"/>
      <color rgb="FF000000"/>
      <name val="Arial"/>
      <family val="2"/>
    </font>
    <font>
      <b/>
      <sz val="16"/>
      <name val="Arial"/>
      <family val="2"/>
    </font>
    <font>
      <b/>
      <sz val="16"/>
      <color rgb="FF000000"/>
      <name val="Arial"/>
      <family val="2"/>
    </font>
    <font>
      <sz val="16"/>
      <color theme="1"/>
      <name val="Arial"/>
      <family val="2"/>
    </font>
    <font>
      <sz val="16"/>
      <color theme="1"/>
      <name val="Aptos Narrow"/>
      <family val="2"/>
      <scheme val="minor"/>
    </font>
    <font>
      <b/>
      <strike/>
      <sz val="16"/>
      <color rgb="FFFF0000"/>
      <name val="Arial"/>
      <family val="2"/>
    </font>
    <font>
      <b/>
      <sz val="16"/>
      <color rgb="FFFF0000"/>
      <name val="Arial"/>
      <family val="2"/>
    </font>
    <font>
      <b/>
      <sz val="16"/>
      <color theme="1"/>
      <name val="Arial"/>
      <family val="2"/>
    </font>
    <font>
      <b/>
      <strike/>
      <sz val="16"/>
      <color theme="0"/>
      <name val="Arial"/>
      <family val="2"/>
    </font>
    <font>
      <b/>
      <sz val="16"/>
      <color theme="0"/>
      <name val="Arial"/>
      <family val="2"/>
    </font>
    <font>
      <sz val="16"/>
      <name val="Arial"/>
      <family val="2"/>
    </font>
    <font>
      <sz val="15"/>
      <color theme="1"/>
      <name val="Aptos Narrow"/>
      <family val="2"/>
      <scheme val="minor"/>
    </font>
    <font>
      <sz val="15"/>
      <name val="Arial"/>
      <family val="2"/>
    </font>
    <font>
      <b/>
      <sz val="15"/>
      <name val="Arial"/>
      <family val="2"/>
    </font>
    <font>
      <sz val="15"/>
      <color rgb="FF000000"/>
      <name val="Arial"/>
      <family val="2"/>
    </font>
    <font>
      <i/>
      <u/>
      <sz val="15"/>
      <name val="Arial"/>
      <family val="2"/>
    </font>
    <font>
      <sz val="15"/>
      <color theme="1"/>
      <name val="Arial"/>
      <family val="2"/>
    </font>
    <font>
      <sz val="12"/>
      <color rgb="FF000000"/>
      <name val="Arial"/>
      <family val="2"/>
    </font>
    <font>
      <sz val="12"/>
      <color theme="1"/>
      <name val="Arial"/>
      <family val="2"/>
    </font>
    <font>
      <i/>
      <sz val="12"/>
      <color rgb="FF000000"/>
      <name val="Arial"/>
      <family val="2"/>
    </font>
    <font>
      <sz val="12"/>
      <color rgb="FF000000"/>
      <name val="Arial"/>
      <family val="2"/>
    </font>
    <font>
      <b/>
      <i/>
      <sz val="12"/>
      <color rgb="FF000000"/>
      <name val="Arial"/>
      <family val="2"/>
    </font>
    <font>
      <b/>
      <sz val="15"/>
      <color rgb="FF000000"/>
      <name val="Arial"/>
      <family val="2"/>
    </font>
    <font>
      <sz val="14"/>
      <color theme="1"/>
      <name val="Times New Roman"/>
      <family val="1"/>
    </font>
    <font>
      <sz val="28"/>
      <color theme="1"/>
      <name val="Old English Text MT"/>
      <family val="4"/>
    </font>
    <font>
      <sz val="36"/>
      <color theme="1"/>
      <name val="Old English Text MT"/>
      <family val="4"/>
    </font>
    <font>
      <sz val="20"/>
      <color theme="1"/>
      <name val="Trojan"/>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94">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thin">
        <color indexed="64"/>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right/>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rgb="FF000000"/>
      </right>
      <top/>
      <bottom/>
      <diagonal/>
    </border>
    <border>
      <left style="medium">
        <color indexed="64"/>
      </left>
      <right style="thin">
        <color rgb="FF000000"/>
      </right>
      <top style="medium">
        <color indexed="64"/>
      </top>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rgb="FF000000"/>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top/>
      <bottom style="thin">
        <color indexed="64"/>
      </bottom>
      <diagonal/>
    </border>
    <border>
      <left style="thin">
        <color rgb="FF000000"/>
      </left>
      <right/>
      <top style="medium">
        <color indexed="64"/>
      </top>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rgb="FF000000"/>
      </right>
      <top/>
      <bottom/>
      <diagonal/>
    </border>
    <border>
      <left/>
      <right style="medium">
        <color rgb="FF000000"/>
      </right>
      <top style="thin">
        <color indexed="64"/>
      </top>
      <bottom style="thin">
        <color indexed="64"/>
      </bottom>
      <diagonal/>
    </border>
    <border>
      <left/>
      <right style="thin">
        <color rgb="FF000000"/>
      </right>
      <top style="medium">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top style="thin">
        <color rgb="FF000000"/>
      </top>
      <bottom/>
      <diagonal/>
    </border>
    <border>
      <left style="medium">
        <color rgb="FF000000"/>
      </left>
      <right style="thin">
        <color indexed="64"/>
      </right>
      <top style="thin">
        <color indexed="64"/>
      </top>
      <bottom/>
      <diagonal/>
    </border>
    <border>
      <left style="thin">
        <color indexed="64"/>
      </left>
      <right style="thin">
        <color indexed="64"/>
      </right>
      <top/>
      <bottom/>
      <diagonal/>
    </border>
    <border>
      <left style="thin">
        <color indexed="64"/>
      </left>
      <right style="medium">
        <color rgb="FF000000"/>
      </right>
      <top style="thin">
        <color indexed="64"/>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style="thin">
        <color rgb="FF000000"/>
      </left>
      <right style="thin">
        <color rgb="FF000000"/>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rgb="FF000000"/>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rgb="FF000000"/>
      </left>
      <right style="thin">
        <color indexed="64"/>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rgb="FF000000"/>
      </right>
      <top style="thin">
        <color rgb="FF000000"/>
      </top>
      <bottom/>
      <diagonal/>
    </border>
    <border>
      <left/>
      <right style="thin">
        <color rgb="FF000000"/>
      </right>
      <top/>
      <bottom style="thin">
        <color rgb="FF000000"/>
      </bottom>
      <diagonal/>
    </border>
  </borders>
  <cellStyleXfs count="3">
    <xf numFmtId="0" fontId="0" fillId="0" borderId="0"/>
    <xf numFmtId="0" fontId="7" fillId="0" borderId="1"/>
    <xf numFmtId="0" fontId="1" fillId="0" borderId="1"/>
  </cellStyleXfs>
  <cellXfs count="311">
    <xf numFmtId="0" fontId="0" fillId="0" borderId="0" xfId="0"/>
    <xf numFmtId="0" fontId="0" fillId="0" borderId="1" xfId="0" applyBorder="1"/>
    <xf numFmtId="0" fontId="5" fillId="2" borderId="0" xfId="0" applyFont="1" applyFill="1"/>
    <xf numFmtId="0" fontId="6" fillId="2" borderId="0" xfId="0" applyFont="1" applyFill="1"/>
    <xf numFmtId="0" fontId="4" fillId="2" borderId="0" xfId="0" applyFont="1" applyFill="1"/>
    <xf numFmtId="0" fontId="16" fillId="2" borderId="27"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6" fillId="2" borderId="1" xfId="0" applyFont="1" applyFill="1" applyBorder="1"/>
    <xf numFmtId="0" fontId="15" fillId="2" borderId="14" xfId="0" applyFont="1" applyFill="1" applyBorder="1" applyAlignment="1">
      <alignment horizontal="left" vertical="center" wrapText="1"/>
    </xf>
    <xf numFmtId="0" fontId="9" fillId="2" borderId="0" xfId="0" applyFont="1" applyFill="1" applyAlignment="1">
      <alignment horizontal="left" vertical="center"/>
    </xf>
    <xf numFmtId="0" fontId="0" fillId="2" borderId="0" xfId="0" applyFill="1" applyAlignment="1">
      <alignment horizontal="left"/>
    </xf>
    <xf numFmtId="0" fontId="0" fillId="2" borderId="1" xfId="0" applyFill="1" applyBorder="1" applyAlignment="1">
      <alignment horizontal="center" vertical="center"/>
    </xf>
    <xf numFmtId="0" fontId="0" fillId="2" borderId="0" xfId="0" applyFill="1"/>
    <xf numFmtId="0" fontId="9" fillId="2" borderId="14" xfId="0" applyFont="1" applyFill="1" applyBorder="1" applyAlignment="1">
      <alignment horizontal="center" vertical="center" wrapText="1"/>
    </xf>
    <xf numFmtId="0" fontId="0" fillId="2" borderId="1" xfId="0" applyFill="1" applyBorder="1"/>
    <xf numFmtId="0" fontId="15" fillId="2" borderId="14" xfId="0" applyFont="1" applyFill="1" applyBorder="1" applyAlignment="1">
      <alignment vertical="center" wrapText="1"/>
    </xf>
    <xf numFmtId="0" fontId="15" fillId="2" borderId="27" xfId="0" applyFont="1" applyFill="1" applyBorder="1" applyAlignment="1">
      <alignment vertical="center" wrapText="1"/>
    </xf>
    <xf numFmtId="0" fontId="15" fillId="2" borderId="36" xfId="0" applyFont="1" applyFill="1" applyBorder="1" applyAlignment="1">
      <alignment vertical="center" wrapText="1"/>
    </xf>
    <xf numFmtId="0" fontId="15" fillId="2" borderId="26" xfId="0" applyFont="1" applyFill="1" applyBorder="1" applyAlignment="1">
      <alignment vertical="center" wrapText="1"/>
    </xf>
    <xf numFmtId="0" fontId="14" fillId="2" borderId="36" xfId="0" applyFont="1" applyFill="1" applyBorder="1" applyAlignment="1">
      <alignment vertical="center" wrapText="1"/>
    </xf>
    <xf numFmtId="17" fontId="14" fillId="2" borderId="26" xfId="0" quotePrefix="1" applyNumberFormat="1" applyFont="1" applyFill="1" applyBorder="1" applyAlignment="1">
      <alignment vertical="center" wrapText="1"/>
    </xf>
    <xf numFmtId="0" fontId="15" fillId="2" borderId="26" xfId="0" applyFont="1" applyFill="1" applyBorder="1" applyAlignment="1">
      <alignment vertical="center"/>
    </xf>
    <xf numFmtId="0" fontId="15" fillId="2" borderId="26" xfId="0" quotePrefix="1" applyFont="1" applyFill="1" applyBorder="1" applyAlignment="1">
      <alignment horizontal="center" vertical="center" wrapText="1"/>
    </xf>
    <xf numFmtId="0" fontId="14" fillId="2" borderId="26" xfId="0" applyFont="1" applyFill="1" applyBorder="1" applyAlignment="1">
      <alignment vertical="center" wrapText="1"/>
    </xf>
    <xf numFmtId="0" fontId="15" fillId="2" borderId="1" xfId="0" applyFont="1" applyFill="1" applyBorder="1" applyAlignment="1">
      <alignment vertical="center" wrapText="1"/>
    </xf>
    <xf numFmtId="0" fontId="15" fillId="2" borderId="19" xfId="0" applyFont="1" applyFill="1" applyBorder="1" applyAlignment="1">
      <alignment horizontal="left" vertical="center" wrapText="1"/>
    </xf>
    <xf numFmtId="0" fontId="15" fillId="2" borderId="3" xfId="0" applyFont="1" applyFill="1" applyBorder="1" applyAlignment="1">
      <alignment vertical="center"/>
    </xf>
    <xf numFmtId="165" fontId="15" fillId="2" borderId="14" xfId="0" applyNumberFormat="1" applyFont="1" applyFill="1" applyBorder="1" applyAlignment="1">
      <alignment horizontal="center" vertical="center" wrapText="1"/>
    </xf>
    <xf numFmtId="165" fontId="15" fillId="2" borderId="27" xfId="0" applyNumberFormat="1" applyFont="1" applyFill="1" applyBorder="1" applyAlignment="1">
      <alignment vertical="center" wrapText="1"/>
    </xf>
    <xf numFmtId="0" fontId="0" fillId="2" borderId="0" xfId="0" applyFill="1" applyAlignment="1">
      <alignment horizontal="center"/>
    </xf>
    <xf numFmtId="0" fontId="0" fillId="2" borderId="0" xfId="0" applyFill="1" applyAlignment="1">
      <alignment horizontal="center" vertical="center"/>
    </xf>
    <xf numFmtId="0" fontId="2" fillId="2" borderId="1" xfId="0" applyFont="1" applyFill="1" applyBorder="1"/>
    <xf numFmtId="0" fontId="2" fillId="2" borderId="1" xfId="0" applyFont="1" applyFill="1" applyBorder="1" applyAlignment="1">
      <alignment horizontal="left"/>
    </xf>
    <xf numFmtId="0" fontId="2" fillId="2" borderId="1" xfId="0" applyFont="1" applyFill="1" applyBorder="1" applyAlignment="1">
      <alignment horizontal="center"/>
    </xf>
    <xf numFmtId="0" fontId="6" fillId="2" borderId="22" xfId="0" applyFont="1" applyFill="1" applyBorder="1"/>
    <xf numFmtId="0" fontId="15" fillId="2" borderId="79" xfId="0" quotePrefix="1" applyFont="1" applyFill="1" applyBorder="1" applyAlignment="1">
      <alignment vertical="top" wrapText="1"/>
    </xf>
    <xf numFmtId="0" fontId="15" fillId="2" borderId="36" xfId="0" quotePrefix="1" applyFont="1" applyFill="1" applyBorder="1" applyAlignment="1">
      <alignment vertical="top" wrapText="1"/>
    </xf>
    <xf numFmtId="0" fontId="15" fillId="2" borderId="83" xfId="0" applyFont="1" applyFill="1" applyBorder="1" applyAlignment="1">
      <alignment vertical="top" wrapText="1"/>
    </xf>
    <xf numFmtId="0" fontId="21" fillId="2" borderId="1" xfId="0" applyFont="1" applyFill="1" applyBorder="1" applyAlignment="1">
      <alignment horizontal="center"/>
    </xf>
    <xf numFmtId="0" fontId="24" fillId="2" borderId="1" xfId="0" applyFont="1" applyFill="1" applyBorder="1"/>
    <xf numFmtId="0" fontId="24" fillId="2" borderId="0" xfId="0" applyFont="1" applyFill="1"/>
    <xf numFmtId="0" fontId="25" fillId="2" borderId="0" xfId="0" applyFont="1" applyFill="1"/>
    <xf numFmtId="0" fontId="22" fillId="2" borderId="57" xfId="0" applyFont="1" applyFill="1" applyBorder="1" applyAlignment="1">
      <alignment horizontal="center"/>
    </xf>
    <xf numFmtId="0" fontId="22" fillId="2" borderId="35" xfId="0" applyFont="1" applyFill="1" applyBorder="1" applyAlignment="1">
      <alignment horizontal="center"/>
    </xf>
    <xf numFmtId="0" fontId="22" fillId="2" borderId="58" xfId="0" applyFont="1" applyFill="1" applyBorder="1" applyAlignment="1">
      <alignment horizontal="center"/>
    </xf>
    <xf numFmtId="0" fontId="22" fillId="2" borderId="59" xfId="0" applyFont="1" applyFill="1" applyBorder="1" applyAlignment="1">
      <alignment horizontal="center"/>
    </xf>
    <xf numFmtId="0" fontId="29" fillId="2" borderId="32" xfId="0" applyFont="1" applyFill="1" applyBorder="1" applyAlignment="1">
      <alignment horizontal="left" vertical="center"/>
    </xf>
    <xf numFmtId="0" fontId="30" fillId="2" borderId="1" xfId="0" applyFont="1" applyFill="1" applyBorder="1" applyAlignment="1">
      <alignment horizontal="left" vertical="center"/>
    </xf>
    <xf numFmtId="0" fontId="21" fillId="2" borderId="30" xfId="0" applyFont="1" applyFill="1" applyBorder="1" applyAlignment="1">
      <alignment horizontal="center"/>
    </xf>
    <xf numFmtId="0" fontId="21" fillId="2" borderId="20" xfId="0" applyFont="1" applyFill="1" applyBorder="1" applyAlignment="1">
      <alignment horizontal="center"/>
    </xf>
    <xf numFmtId="0" fontId="21" fillId="2" borderId="31" xfId="0" applyFont="1" applyFill="1" applyBorder="1" applyAlignment="1">
      <alignment horizontal="center"/>
    </xf>
    <xf numFmtId="0" fontId="21" fillId="2" borderId="10" xfId="0" applyFont="1" applyFill="1" applyBorder="1" applyAlignment="1">
      <alignment horizontal="center"/>
    </xf>
    <xf numFmtId="0" fontId="21" fillId="2" borderId="9" xfId="0" applyFont="1" applyFill="1" applyBorder="1"/>
    <xf numFmtId="0" fontId="25" fillId="2" borderId="1" xfId="0" applyFont="1" applyFill="1" applyBorder="1"/>
    <xf numFmtId="0" fontId="21" fillId="2" borderId="68" xfId="0" applyFont="1" applyFill="1" applyBorder="1"/>
    <xf numFmtId="0" fontId="21" fillId="2" borderId="69" xfId="0" applyFont="1" applyFill="1" applyBorder="1"/>
    <xf numFmtId="0" fontId="21" fillId="2" borderId="69" xfId="0" applyFont="1" applyFill="1" applyBorder="1" applyAlignment="1">
      <alignment horizontal="left"/>
    </xf>
    <xf numFmtId="0" fontId="21" fillId="2" borderId="70" xfId="0" applyFont="1" applyFill="1" applyBorder="1"/>
    <xf numFmtId="0" fontId="25" fillId="2" borderId="69" xfId="0" applyFont="1" applyFill="1" applyBorder="1"/>
    <xf numFmtId="0" fontId="25" fillId="2" borderId="71" xfId="0" applyFont="1" applyFill="1" applyBorder="1"/>
    <xf numFmtId="0" fontId="28" fillId="2" borderId="1" xfId="0" applyFont="1" applyFill="1" applyBorder="1"/>
    <xf numFmtId="0" fontId="31" fillId="2" borderId="1" xfId="0" applyFont="1" applyFill="1" applyBorder="1"/>
    <xf numFmtId="0" fontId="32" fillId="2" borderId="0" xfId="0" applyFont="1" applyFill="1"/>
    <xf numFmtId="0" fontId="33" fillId="2" borderId="1" xfId="2" applyFont="1" applyFill="1" applyAlignment="1">
      <alignment horizontal="left" vertical="center"/>
    </xf>
    <xf numFmtId="0" fontId="34" fillId="2" borderId="0" xfId="0" applyFont="1" applyFill="1"/>
    <xf numFmtId="0" fontId="33" fillId="2" borderId="0" xfId="0" applyFont="1" applyFill="1"/>
    <xf numFmtId="0" fontId="33" fillId="2" borderId="22" xfId="2" applyFont="1" applyFill="1" applyBorder="1" applyAlignment="1">
      <alignment horizontal="center" vertical="center" wrapText="1"/>
    </xf>
    <xf numFmtId="0" fontId="33" fillId="2" borderId="1" xfId="2" applyFont="1" applyFill="1" applyAlignment="1">
      <alignment horizontal="center" vertical="center"/>
    </xf>
    <xf numFmtId="0" fontId="36" fillId="2" borderId="1" xfId="2" applyFont="1" applyFill="1" applyAlignment="1">
      <alignment horizontal="center" vertical="center"/>
    </xf>
    <xf numFmtId="0" fontId="37" fillId="2" borderId="1" xfId="2" applyFont="1" applyFill="1" applyAlignment="1">
      <alignment horizontal="center" vertical="center" wrapText="1"/>
    </xf>
    <xf numFmtId="0" fontId="8" fillId="2" borderId="54"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8" fillId="2" borderId="80" xfId="0" applyFont="1" applyFill="1" applyBorder="1" applyAlignment="1">
      <alignment horizontal="center" vertical="center" wrapText="1"/>
    </xf>
    <xf numFmtId="0" fontId="38" fillId="2" borderId="36" xfId="0" applyFont="1" applyFill="1" applyBorder="1" applyAlignment="1">
      <alignment horizontal="center" vertical="center" wrapText="1"/>
    </xf>
    <xf numFmtId="0" fontId="38" fillId="2" borderId="24" xfId="0" applyFont="1" applyFill="1" applyBorder="1" applyAlignment="1">
      <alignment horizontal="left" vertical="center" wrapText="1"/>
    </xf>
    <xf numFmtId="0" fontId="39" fillId="2" borderId="35" xfId="0" applyFont="1" applyFill="1" applyBorder="1"/>
    <xf numFmtId="0" fontId="40" fillId="2" borderId="35" xfId="0" quotePrefix="1" applyFont="1" applyFill="1" applyBorder="1" applyAlignment="1">
      <alignment vertical="center" wrapText="1"/>
    </xf>
    <xf numFmtId="0" fontId="40" fillId="2" borderId="80" xfId="0" quotePrefix="1" applyFont="1" applyFill="1" applyBorder="1" applyAlignment="1">
      <alignment vertical="center" wrapText="1"/>
    </xf>
    <xf numFmtId="0" fontId="38" fillId="2" borderId="79" xfId="0" applyFont="1" applyFill="1" applyBorder="1" applyAlignment="1">
      <alignment vertical="center"/>
    </xf>
    <xf numFmtId="0" fontId="38" fillId="2" borderId="36" xfId="0" applyFont="1" applyFill="1" applyBorder="1" applyAlignment="1">
      <alignment vertical="center" wrapText="1"/>
    </xf>
    <xf numFmtId="0" fontId="40" fillId="2" borderId="36" xfId="0" quotePrefix="1" applyFont="1" applyFill="1" applyBorder="1" applyAlignment="1">
      <alignment horizontal="left" vertical="top" wrapText="1"/>
    </xf>
    <xf numFmtId="0" fontId="40" fillId="2" borderId="83" xfId="0" applyFont="1" applyFill="1" applyBorder="1" applyAlignment="1">
      <alignment horizontal="left" vertical="center" wrapText="1"/>
    </xf>
    <xf numFmtId="0" fontId="40" fillId="2" borderId="14" xfId="0" quotePrefix="1" applyFont="1" applyFill="1" applyBorder="1" applyAlignment="1">
      <alignment horizontal="left" vertical="top" wrapText="1"/>
    </xf>
    <xf numFmtId="0" fontId="40" fillId="2" borderId="14" xfId="0" applyFont="1" applyFill="1" applyBorder="1" applyAlignment="1">
      <alignment horizontal="center" vertical="center" wrapText="1"/>
    </xf>
    <xf numFmtId="0" fontId="40" fillId="2" borderId="43" xfId="0" applyFont="1" applyFill="1" applyBorder="1" applyAlignment="1">
      <alignment horizontal="center" vertical="center" wrapText="1"/>
    </xf>
    <xf numFmtId="0" fontId="40" fillId="2" borderId="14" xfId="0" applyFont="1" applyFill="1" applyBorder="1" applyAlignment="1">
      <alignment horizontal="left" vertical="center" wrapText="1"/>
    </xf>
    <xf numFmtId="0" fontId="39" fillId="2" borderId="44" xfId="0" applyFont="1" applyFill="1" applyBorder="1" applyAlignment="1">
      <alignment horizontal="center" vertical="center" wrapText="1"/>
    </xf>
    <xf numFmtId="0" fontId="39" fillId="2" borderId="14" xfId="0" applyFont="1" applyFill="1" applyBorder="1" applyAlignment="1">
      <alignment horizontal="left" vertical="center" wrapText="1"/>
    </xf>
    <xf numFmtId="0" fontId="39" fillId="2" borderId="19" xfId="0" applyFont="1" applyFill="1" applyBorder="1" applyAlignment="1">
      <alignment horizontal="left" vertical="center" wrapText="1"/>
    </xf>
    <xf numFmtId="0" fontId="40" fillId="2" borderId="55" xfId="0" applyFont="1" applyFill="1" applyBorder="1" applyAlignment="1">
      <alignment horizontal="center" vertical="center" wrapText="1"/>
    </xf>
    <xf numFmtId="0" fontId="40" fillId="2" borderId="26" xfId="0" applyFont="1" applyFill="1" applyBorder="1" applyAlignment="1">
      <alignment horizontal="center" vertical="center" wrapText="1"/>
    </xf>
    <xf numFmtId="0" fontId="40" fillId="2" borderId="84" xfId="0" applyFont="1" applyFill="1" applyBorder="1" applyAlignment="1">
      <alignment horizontal="center" vertical="center" wrapText="1"/>
    </xf>
    <xf numFmtId="0" fontId="38" fillId="2" borderId="19" xfId="0" applyFont="1" applyFill="1" applyBorder="1" applyAlignment="1">
      <alignment horizontal="left" vertical="center" wrapText="1"/>
    </xf>
    <xf numFmtId="0" fontId="40" fillId="2" borderId="26" xfId="0" quotePrefix="1" applyFont="1" applyFill="1" applyBorder="1" applyAlignment="1">
      <alignment horizontal="center" vertical="center" wrapText="1"/>
    </xf>
    <xf numFmtId="17" fontId="40" fillId="2" borderId="55" xfId="0" quotePrefix="1" applyNumberFormat="1" applyFont="1" applyFill="1" applyBorder="1" applyAlignment="1">
      <alignment horizontal="center" vertical="center" wrapText="1"/>
    </xf>
    <xf numFmtId="17" fontId="40" fillId="2" borderId="26" xfId="0" quotePrefix="1" applyNumberFormat="1" applyFont="1" applyFill="1" applyBorder="1" applyAlignment="1">
      <alignment horizontal="center" vertical="center" wrapText="1"/>
    </xf>
    <xf numFmtId="17" fontId="40" fillId="2" borderId="84" xfId="0" quotePrefix="1" applyNumberFormat="1" applyFont="1" applyFill="1" applyBorder="1" applyAlignment="1">
      <alignment horizontal="center" vertical="center" wrapText="1"/>
    </xf>
    <xf numFmtId="0" fontId="40" fillId="2" borderId="84" xfId="0" quotePrefix="1" applyFont="1" applyFill="1" applyBorder="1" applyAlignment="1">
      <alignment horizontal="center" vertical="center" wrapText="1"/>
    </xf>
    <xf numFmtId="0" fontId="39" fillId="2" borderId="85" xfId="0" applyFont="1" applyFill="1" applyBorder="1" applyAlignment="1">
      <alignment horizontal="center" vertical="center" wrapText="1"/>
    </xf>
    <xf numFmtId="0" fontId="39" fillId="2" borderId="86" xfId="0" applyFont="1" applyFill="1" applyBorder="1" applyAlignment="1">
      <alignment horizontal="left" vertical="center" wrapText="1"/>
    </xf>
    <xf numFmtId="0" fontId="39" fillId="2" borderId="87" xfId="0" applyFont="1" applyFill="1" applyBorder="1" applyAlignment="1">
      <alignment horizontal="left" vertical="center" wrapText="1"/>
    </xf>
    <xf numFmtId="0" fontId="40" fillId="2" borderId="88" xfId="0" applyFont="1" applyFill="1" applyBorder="1" applyAlignment="1">
      <alignment horizontal="center" vertical="center" wrapText="1"/>
    </xf>
    <xf numFmtId="0" fontId="40" fillId="2" borderId="89" xfId="0" applyFont="1" applyFill="1" applyBorder="1" applyAlignment="1">
      <alignment horizontal="center" vertical="center" wrapText="1"/>
    </xf>
    <xf numFmtId="0" fontId="40" fillId="2" borderId="15" xfId="0" applyFont="1" applyFill="1" applyBorder="1" applyAlignment="1">
      <alignment horizontal="center" vertical="center" wrapText="1"/>
    </xf>
    <xf numFmtId="0" fontId="28" fillId="2" borderId="0" xfId="0" applyFont="1" applyFill="1" applyAlignment="1">
      <alignment vertical="center" wrapText="1"/>
    </xf>
    <xf numFmtId="166" fontId="2" fillId="2" borderId="1" xfId="0" applyNumberFormat="1" applyFont="1" applyFill="1" applyBorder="1" applyAlignment="1">
      <alignment horizontal="center"/>
    </xf>
    <xf numFmtId="166" fontId="22" fillId="2" borderId="35" xfId="0" applyNumberFormat="1" applyFont="1" applyFill="1" applyBorder="1" applyAlignment="1">
      <alignment horizontal="center"/>
    </xf>
    <xf numFmtId="166" fontId="25" fillId="2" borderId="69" xfId="0" applyNumberFormat="1" applyFont="1" applyFill="1" applyBorder="1"/>
    <xf numFmtId="166" fontId="25" fillId="2" borderId="1" xfId="0" applyNumberFormat="1" applyFont="1" applyFill="1" applyBorder="1"/>
    <xf numFmtId="166" fontId="25" fillId="2" borderId="0" xfId="0" applyNumberFormat="1" applyFont="1" applyFill="1"/>
    <xf numFmtId="166" fontId="24" fillId="2" borderId="1" xfId="0" applyNumberFormat="1" applyFont="1" applyFill="1" applyBorder="1"/>
    <xf numFmtId="166" fontId="5" fillId="2" borderId="0" xfId="0" applyNumberFormat="1" applyFont="1" applyFill="1"/>
    <xf numFmtId="166" fontId="33" fillId="2" borderId="1" xfId="2" applyNumberFormat="1" applyFont="1" applyFill="1" applyAlignment="1">
      <alignment horizontal="left" vertical="center"/>
    </xf>
    <xf numFmtId="166" fontId="0" fillId="2" borderId="0" xfId="0" applyNumberFormat="1" applyFill="1"/>
    <xf numFmtId="0" fontId="25" fillId="2" borderId="9" xfId="0" applyFont="1" applyFill="1" applyBorder="1" applyAlignment="1">
      <alignment wrapText="1"/>
    </xf>
    <xf numFmtId="0" fontId="21" fillId="2" borderId="31" xfId="0" applyFont="1" applyFill="1" applyBorder="1" applyAlignment="1">
      <alignment horizontal="center" vertical="top"/>
    </xf>
    <xf numFmtId="0" fontId="21" fillId="2" borderId="10" xfId="0" applyFont="1" applyFill="1" applyBorder="1" applyAlignment="1">
      <alignment horizontal="center" vertical="top"/>
    </xf>
    <xf numFmtId="0" fontId="21" fillId="2" borderId="62" xfId="0" applyFont="1" applyFill="1" applyBorder="1" applyAlignment="1">
      <alignment vertical="top" wrapText="1"/>
    </xf>
    <xf numFmtId="0" fontId="21" fillId="2" borderId="2" xfId="0" applyFont="1" applyFill="1" applyBorder="1" applyAlignment="1">
      <alignment vertical="top" wrapText="1"/>
    </xf>
    <xf numFmtId="0" fontId="21" fillId="2" borderId="4" xfId="0" applyFont="1" applyFill="1" applyBorder="1" applyAlignment="1">
      <alignment horizontal="left" vertical="top" wrapText="1"/>
    </xf>
    <xf numFmtId="0" fontId="21" fillId="2" borderId="14" xfId="0" applyFont="1" applyFill="1" applyBorder="1" applyAlignment="1">
      <alignment horizontal="left" vertical="top" wrapText="1"/>
    </xf>
    <xf numFmtId="0" fontId="21" fillId="2" borderId="11" xfId="0" applyFont="1" applyFill="1" applyBorder="1" applyAlignment="1">
      <alignment horizontal="left" vertical="top" wrapText="1"/>
    </xf>
    <xf numFmtId="164" fontId="21" fillId="2" borderId="18" xfId="0" quotePrefix="1" applyNumberFormat="1" applyFont="1" applyFill="1" applyBorder="1" applyAlignment="1">
      <alignment horizontal="center" vertical="top" wrapText="1"/>
    </xf>
    <xf numFmtId="0" fontId="21" fillId="2" borderId="4" xfId="0" applyFont="1" applyFill="1" applyBorder="1" applyAlignment="1">
      <alignment vertical="top" wrapText="1"/>
    </xf>
    <xf numFmtId="0" fontId="21" fillId="2" borderId="56" xfId="0" applyFont="1" applyFill="1" applyBorder="1" applyAlignment="1">
      <alignment horizontal="center" vertical="top" wrapText="1"/>
    </xf>
    <xf numFmtId="0" fontId="21" fillId="2" borderId="63" xfId="0" applyFont="1" applyFill="1" applyBorder="1" applyAlignment="1">
      <alignment vertical="top" wrapText="1"/>
    </xf>
    <xf numFmtId="0" fontId="24" fillId="2" borderId="1" xfId="0" applyFont="1" applyFill="1" applyBorder="1" applyAlignment="1">
      <alignment vertical="top"/>
    </xf>
    <xf numFmtId="0" fontId="25" fillId="2" borderId="0" xfId="0" applyFont="1" applyFill="1" applyAlignment="1">
      <alignment vertical="top"/>
    </xf>
    <xf numFmtId="166" fontId="21" fillId="2" borderId="2" xfId="0" applyNumberFormat="1" applyFont="1" applyFill="1" applyBorder="1" applyAlignment="1">
      <alignment horizontal="right" vertical="top" wrapText="1"/>
    </xf>
    <xf numFmtId="0" fontId="21" fillId="2" borderId="18" xfId="0" applyFont="1" applyFill="1" applyBorder="1" applyAlignment="1">
      <alignment vertical="top" wrapText="1"/>
    </xf>
    <xf numFmtId="0" fontId="21" fillId="2" borderId="93" xfId="0" applyFont="1" applyFill="1" applyBorder="1" applyAlignment="1">
      <alignment vertical="top" wrapText="1"/>
    </xf>
    <xf numFmtId="164" fontId="21" fillId="2" borderId="14" xfId="0" quotePrefix="1" applyNumberFormat="1" applyFont="1" applyFill="1" applyBorder="1" applyAlignment="1">
      <alignment horizontal="center" vertical="top" wrapText="1"/>
    </xf>
    <xf numFmtId="0" fontId="21" fillId="2" borderId="3" xfId="0" applyFont="1" applyFill="1" applyBorder="1" applyAlignment="1">
      <alignment vertical="top" wrapText="1"/>
    </xf>
    <xf numFmtId="164" fontId="21" fillId="2" borderId="4" xfId="0" quotePrefix="1" applyNumberFormat="1" applyFont="1" applyFill="1" applyBorder="1" applyAlignment="1">
      <alignment horizontal="center" vertical="top" wrapText="1"/>
    </xf>
    <xf numFmtId="166" fontId="21" fillId="2" borderId="3" xfId="0" applyNumberFormat="1" applyFont="1" applyFill="1" applyBorder="1" applyAlignment="1">
      <alignment horizontal="right" vertical="top" wrapText="1"/>
    </xf>
    <xf numFmtId="0" fontId="21" fillId="2" borderId="8" xfId="0" applyFont="1" applyFill="1" applyBorder="1" applyAlignment="1">
      <alignment horizontal="center" vertical="top" wrapText="1"/>
    </xf>
    <xf numFmtId="0" fontId="21" fillId="2" borderId="9" xfId="0" applyFont="1" applyFill="1" applyBorder="1" applyAlignment="1">
      <alignment vertical="top" wrapText="1"/>
    </xf>
    <xf numFmtId="0" fontId="21" fillId="2" borderId="18" xfId="0" applyFont="1" applyFill="1" applyBorder="1" applyAlignment="1">
      <alignment horizontal="left" vertical="top" wrapText="1"/>
    </xf>
    <xf numFmtId="0" fontId="21" fillId="2" borderId="30" xfId="0" applyFont="1" applyFill="1" applyBorder="1" applyAlignment="1">
      <alignment horizontal="center" vertical="top"/>
    </xf>
    <xf numFmtId="0" fontId="21" fillId="2" borderId="20" xfId="0" applyFont="1" applyFill="1" applyBorder="1" applyAlignment="1">
      <alignment horizontal="center" vertical="top"/>
    </xf>
    <xf numFmtId="0" fontId="21" fillId="2" borderId="5" xfId="0" applyFont="1" applyFill="1" applyBorder="1" applyAlignment="1">
      <alignment vertical="top" wrapText="1"/>
    </xf>
    <xf numFmtId="166" fontId="21" fillId="2" borderId="4" xfId="0" applyNumberFormat="1" applyFont="1" applyFill="1" applyBorder="1" applyAlignment="1">
      <alignment horizontal="right" vertical="top" wrapText="1"/>
    </xf>
    <xf numFmtId="0" fontId="21" fillId="2" borderId="12" xfId="0" applyFont="1" applyFill="1" applyBorder="1" applyAlignment="1">
      <alignment horizontal="center" vertical="top" wrapText="1"/>
    </xf>
    <xf numFmtId="0" fontId="21" fillId="2" borderId="6" xfId="0" applyFont="1" applyFill="1" applyBorder="1" applyAlignment="1">
      <alignment vertical="top" wrapText="1"/>
    </xf>
    <xf numFmtId="0" fontId="21" fillId="2" borderId="12" xfId="0" applyFont="1" applyFill="1" applyBorder="1" applyAlignment="1">
      <alignment horizontal="left" vertical="top" wrapText="1"/>
    </xf>
    <xf numFmtId="0" fontId="25" fillId="2" borderId="14" xfId="0" applyFont="1" applyFill="1" applyBorder="1" applyAlignment="1">
      <alignment vertical="top" wrapText="1"/>
    </xf>
    <xf numFmtId="0" fontId="21" fillId="2" borderId="92" xfId="0" applyFont="1" applyFill="1" applyBorder="1" applyAlignment="1">
      <alignment horizontal="left" vertical="top" wrapText="1"/>
    </xf>
    <xf numFmtId="0" fontId="21" fillId="2" borderId="14" xfId="0" applyFont="1" applyFill="1" applyBorder="1" applyAlignment="1">
      <alignment vertical="top" wrapText="1"/>
    </xf>
    <xf numFmtId="0" fontId="43" fillId="2" borderId="25" xfId="2" applyFont="1" applyFill="1" applyBorder="1" applyAlignment="1">
      <alignment horizontal="center"/>
    </xf>
    <xf numFmtId="0" fontId="21" fillId="2" borderId="93" xfId="0" applyFont="1" applyFill="1" applyBorder="1" applyAlignment="1">
      <alignment horizontal="left" vertical="top" wrapText="1"/>
    </xf>
    <xf numFmtId="0" fontId="21" fillId="2" borderId="7" xfId="0" applyFont="1" applyFill="1" applyBorder="1" applyAlignment="1">
      <alignment vertical="top" wrapText="1"/>
    </xf>
    <xf numFmtId="0" fontId="25" fillId="2" borderId="3" xfId="0" applyFont="1" applyFill="1" applyBorder="1" applyAlignment="1">
      <alignment vertical="top" wrapText="1"/>
    </xf>
    <xf numFmtId="166" fontId="21" fillId="2" borderId="14" xfId="0" applyNumberFormat="1" applyFont="1" applyFill="1" applyBorder="1" applyAlignment="1">
      <alignment horizontal="right" vertical="top" wrapText="1"/>
    </xf>
    <xf numFmtId="0" fontId="21" fillId="2" borderId="10" xfId="0" applyFont="1" applyFill="1" applyBorder="1" applyAlignment="1">
      <alignment horizontal="center" vertical="top" wrapText="1"/>
    </xf>
    <xf numFmtId="166" fontId="21" fillId="2" borderId="18" xfId="0" applyNumberFormat="1" applyFont="1" applyFill="1" applyBorder="1" applyAlignment="1">
      <alignment horizontal="right" vertical="top" wrapText="1"/>
    </xf>
    <xf numFmtId="166" fontId="21" fillId="2" borderId="56" xfId="0" applyNumberFormat="1" applyFont="1" applyFill="1" applyBorder="1" applyAlignment="1">
      <alignment horizontal="center" vertical="top" wrapText="1"/>
    </xf>
    <xf numFmtId="0" fontId="21" fillId="2" borderId="3" xfId="0" applyFont="1" applyFill="1" applyBorder="1" applyAlignment="1">
      <alignment vertical="top"/>
    </xf>
    <xf numFmtId="0" fontId="21" fillId="2" borderId="3" xfId="0" applyFont="1" applyFill="1" applyBorder="1" applyAlignment="1">
      <alignment horizontal="left" vertical="top" wrapText="1"/>
    </xf>
    <xf numFmtId="0" fontId="21" fillId="2" borderId="3" xfId="0" applyFont="1" applyFill="1" applyBorder="1" applyAlignment="1">
      <alignment horizontal="left" vertical="top"/>
    </xf>
    <xf numFmtId="17" fontId="21" fillId="2" borderId="3" xfId="0" quotePrefix="1" applyNumberFormat="1" applyFont="1" applyFill="1" applyBorder="1" applyAlignment="1">
      <alignment horizontal="center" vertical="top"/>
    </xf>
    <xf numFmtId="17" fontId="21" fillId="2" borderId="8" xfId="0" quotePrefix="1" applyNumberFormat="1" applyFont="1" applyFill="1" applyBorder="1" applyAlignment="1">
      <alignment horizontal="center" vertical="top"/>
    </xf>
    <xf numFmtId="0" fontId="25" fillId="2" borderId="3" xfId="0" applyFont="1" applyFill="1" applyBorder="1" applyAlignment="1">
      <alignment vertical="top"/>
    </xf>
    <xf numFmtId="166" fontId="25" fillId="2" borderId="3" xfId="0" applyNumberFormat="1" applyFont="1" applyFill="1" applyBorder="1" applyAlignment="1">
      <alignment vertical="top"/>
    </xf>
    <xf numFmtId="0" fontId="25" fillId="2" borderId="9" xfId="0" applyFont="1" applyFill="1" applyBorder="1" applyAlignment="1">
      <alignment vertical="top"/>
    </xf>
    <xf numFmtId="0" fontId="21" fillId="2" borderId="8" xfId="0" applyFont="1" applyFill="1" applyBorder="1" applyAlignment="1">
      <alignment vertical="top"/>
    </xf>
    <xf numFmtId="0" fontId="25" fillId="2" borderId="14" xfId="0" applyFont="1" applyFill="1" applyBorder="1" applyAlignment="1">
      <alignment vertical="top"/>
    </xf>
    <xf numFmtId="166" fontId="21" fillId="2" borderId="3" xfId="0" applyNumberFormat="1" applyFont="1" applyFill="1" applyBorder="1" applyAlignment="1">
      <alignment vertical="top"/>
    </xf>
    <xf numFmtId="0" fontId="25" fillId="2" borderId="7" xfId="0" applyFont="1" applyFill="1" applyBorder="1" applyAlignment="1">
      <alignment vertical="top" wrapText="1"/>
    </xf>
    <xf numFmtId="0" fontId="25" fillId="2" borderId="14" xfId="0" quotePrefix="1" applyFont="1" applyFill="1" applyBorder="1" applyAlignment="1">
      <alignment horizontal="center" vertical="top" wrapText="1"/>
    </xf>
    <xf numFmtId="166" fontId="25" fillId="2" borderId="93" xfId="0" applyNumberFormat="1" applyFont="1" applyFill="1" applyBorder="1" applyAlignment="1">
      <alignment vertical="top" wrapText="1"/>
    </xf>
    <xf numFmtId="0" fontId="25" fillId="2" borderId="3" xfId="0" quotePrefix="1" applyFont="1" applyFill="1" applyBorder="1" applyAlignment="1">
      <alignment horizontal="center" vertical="top" wrapText="1"/>
    </xf>
    <xf numFmtId="166" fontId="25" fillId="2" borderId="3" xfId="0" applyNumberFormat="1" applyFont="1" applyFill="1" applyBorder="1" applyAlignment="1">
      <alignment horizontal="right" vertical="top" wrapText="1"/>
    </xf>
    <xf numFmtId="0" fontId="25" fillId="2" borderId="9" xfId="0" applyFont="1" applyFill="1" applyBorder="1" applyAlignment="1">
      <alignment vertical="top" wrapText="1"/>
    </xf>
    <xf numFmtId="0" fontId="21" fillId="2" borderId="13" xfId="0" applyFont="1" applyFill="1" applyBorder="1" applyAlignment="1">
      <alignment horizontal="center" vertical="top" wrapText="1"/>
    </xf>
    <xf numFmtId="166" fontId="25" fillId="2" borderId="14" xfId="0" applyNumberFormat="1" applyFont="1" applyFill="1" applyBorder="1" applyAlignment="1">
      <alignment vertical="top" wrapText="1"/>
    </xf>
    <xf numFmtId="0" fontId="25" fillId="2" borderId="11" xfId="0" applyFont="1" applyFill="1" applyBorder="1" applyAlignment="1">
      <alignment vertical="top" wrapText="1"/>
    </xf>
    <xf numFmtId="166" fontId="25" fillId="2" borderId="4" xfId="0" applyNumberFormat="1" applyFont="1" applyFill="1" applyBorder="1" applyAlignment="1">
      <alignment vertical="top" wrapText="1"/>
    </xf>
    <xf numFmtId="0" fontId="23" fillId="2" borderId="66" xfId="0" applyFont="1" applyFill="1" applyBorder="1" applyAlignment="1">
      <alignment vertical="top"/>
    </xf>
    <xf numFmtId="0" fontId="23" fillId="2" borderId="10" xfId="0" applyFont="1" applyFill="1" applyBorder="1" applyAlignment="1">
      <alignment vertical="top"/>
    </xf>
    <xf numFmtId="0" fontId="23" fillId="2" borderId="67" xfId="0" applyFont="1" applyFill="1" applyBorder="1" applyAlignment="1">
      <alignment vertical="top"/>
    </xf>
    <xf numFmtId="0" fontId="23" fillId="3" borderId="66" xfId="0" applyFont="1" applyFill="1" applyBorder="1" applyAlignment="1">
      <alignment vertical="top"/>
    </xf>
    <xf numFmtId="0" fontId="23" fillId="3" borderId="10" xfId="0" applyFont="1" applyFill="1" applyBorder="1" applyAlignment="1">
      <alignment vertical="top"/>
    </xf>
    <xf numFmtId="0" fontId="23" fillId="3" borderId="67" xfId="0" applyFont="1" applyFill="1" applyBorder="1" applyAlignment="1">
      <alignment vertical="top"/>
    </xf>
    <xf numFmtId="0" fontId="23" fillId="3" borderId="20" xfId="0" applyFont="1" applyFill="1" applyBorder="1" applyAlignment="1">
      <alignment vertical="top"/>
    </xf>
    <xf numFmtId="0" fontId="23" fillId="3" borderId="13" xfId="0" applyFont="1" applyFill="1" applyBorder="1" applyAlignment="1">
      <alignment vertical="top"/>
    </xf>
    <xf numFmtId="0" fontId="44" fillId="0" borderId="1" xfId="0" applyFont="1" applyBorder="1" applyAlignment="1">
      <alignment horizontal="center" vertical="center"/>
    </xf>
    <xf numFmtId="0" fontId="23" fillId="3" borderId="66" xfId="0" applyFont="1" applyFill="1" applyBorder="1" applyAlignment="1">
      <alignment vertical="top"/>
    </xf>
    <xf numFmtId="0" fontId="23" fillId="3" borderId="10" xfId="0" applyFont="1" applyFill="1" applyBorder="1" applyAlignment="1">
      <alignment vertical="top"/>
    </xf>
    <xf numFmtId="0" fontId="23" fillId="3" borderId="67" xfId="0" applyFont="1" applyFill="1" applyBorder="1" applyAlignment="1">
      <alignment vertical="top"/>
    </xf>
    <xf numFmtId="166" fontId="21" fillId="2" borderId="12" xfId="0" applyNumberFormat="1" applyFont="1" applyFill="1" applyBorder="1" applyAlignment="1">
      <alignment horizontal="center" vertical="top" wrapText="1"/>
    </xf>
    <xf numFmtId="0" fontId="23" fillId="3" borderId="66" xfId="0" applyFont="1" applyFill="1" applyBorder="1" applyAlignment="1">
      <alignment vertical="top"/>
    </xf>
    <xf numFmtId="0" fontId="23" fillId="3" borderId="10" xfId="0" applyFont="1" applyFill="1" applyBorder="1" applyAlignment="1">
      <alignment vertical="top"/>
    </xf>
    <xf numFmtId="0" fontId="23" fillId="3" borderId="13" xfId="0" applyFont="1" applyFill="1" applyBorder="1" applyAlignment="1">
      <alignment vertical="top"/>
    </xf>
    <xf numFmtId="0" fontId="23" fillId="3" borderId="67" xfId="0" applyFont="1" applyFill="1" applyBorder="1" applyAlignment="1">
      <alignment vertical="top"/>
    </xf>
    <xf numFmtId="0" fontId="23" fillId="3" borderId="66" xfId="0" applyFont="1" applyFill="1" applyBorder="1" applyAlignment="1">
      <alignment vertical="center"/>
    </xf>
    <xf numFmtId="0" fontId="23" fillId="3" borderId="10" xfId="0" applyFont="1" applyFill="1" applyBorder="1" applyAlignment="1">
      <alignment vertical="center"/>
    </xf>
    <xf numFmtId="0" fontId="23" fillId="3" borderId="13" xfId="0" applyFont="1" applyFill="1" applyBorder="1" applyAlignment="1">
      <alignment vertical="center"/>
    </xf>
    <xf numFmtId="0" fontId="23" fillId="3" borderId="67" xfId="0" applyFont="1" applyFill="1" applyBorder="1" applyAlignment="1">
      <alignment vertical="center"/>
    </xf>
    <xf numFmtId="166" fontId="21" fillId="2" borderId="63" xfId="0" applyNumberFormat="1" applyFont="1" applyFill="1" applyBorder="1" applyAlignment="1">
      <alignment vertical="top" wrapText="1"/>
    </xf>
    <xf numFmtId="166" fontId="28" fillId="2" borderId="0" xfId="0" applyNumberFormat="1" applyFont="1" applyFill="1" applyAlignment="1">
      <alignment vertical="center" wrapText="1"/>
    </xf>
    <xf numFmtId="0" fontId="23" fillId="2" borderId="64" xfId="0" applyFont="1" applyFill="1" applyBorder="1" applyAlignment="1">
      <alignment vertical="center"/>
    </xf>
    <xf numFmtId="0" fontId="23" fillId="2" borderId="13" xfId="0" applyFont="1" applyFill="1" applyBorder="1" applyAlignment="1">
      <alignment vertical="center"/>
    </xf>
    <xf numFmtId="0" fontId="23" fillId="2" borderId="1" xfId="0" applyFont="1" applyFill="1" applyBorder="1" applyAlignment="1">
      <alignment vertical="center"/>
    </xf>
    <xf numFmtId="0" fontId="23" fillId="2" borderId="65" xfId="0" applyFont="1" applyFill="1" applyBorder="1" applyAlignment="1">
      <alignment vertical="center"/>
    </xf>
    <xf numFmtId="166" fontId="0" fillId="0" borderId="0" xfId="0" applyNumberFormat="1"/>
    <xf numFmtId="0" fontId="25" fillId="2" borderId="12" xfId="0" applyFont="1" applyFill="1" applyBorder="1" applyAlignment="1">
      <alignment vertical="top"/>
    </xf>
    <xf numFmtId="0" fontId="23" fillId="3" borderId="14" xfId="0" applyFont="1" applyFill="1" applyBorder="1" applyAlignment="1">
      <alignment vertical="center"/>
    </xf>
    <xf numFmtId="0" fontId="21" fillId="2" borderId="10" xfId="0" applyFont="1" applyFill="1" applyBorder="1" applyAlignment="1">
      <alignment horizontal="left" vertical="top" wrapText="1"/>
    </xf>
    <xf numFmtId="0" fontId="23" fillId="3" borderId="4" xfId="0" applyFont="1" applyFill="1" applyBorder="1" applyAlignment="1">
      <alignment vertical="top"/>
    </xf>
    <xf numFmtId="0" fontId="23" fillId="2" borderId="4" xfId="0" applyFont="1" applyFill="1" applyBorder="1" applyAlignment="1">
      <alignment vertical="center"/>
    </xf>
    <xf numFmtId="0" fontId="23" fillId="3" borderId="4" xfId="0" applyFont="1" applyFill="1" applyBorder="1" applyAlignment="1">
      <alignment vertical="center"/>
    </xf>
    <xf numFmtId="0" fontId="23" fillId="2" borderId="3" xfId="0" applyFont="1" applyFill="1" applyBorder="1" applyAlignment="1">
      <alignment vertical="top"/>
    </xf>
    <xf numFmtId="166" fontId="25" fillId="2" borderId="9" xfId="0" applyNumberFormat="1" applyFont="1" applyFill="1" applyBorder="1" applyAlignment="1">
      <alignment wrapText="1"/>
    </xf>
    <xf numFmtId="0" fontId="25" fillId="2" borderId="19" xfId="0" applyFont="1" applyFill="1" applyBorder="1" applyAlignment="1">
      <alignment vertical="top" wrapText="1"/>
    </xf>
    <xf numFmtId="0" fontId="21" fillId="2" borderId="65" xfId="0" applyFont="1" applyFill="1" applyBorder="1" applyAlignment="1">
      <alignment vertical="top" wrapText="1"/>
    </xf>
    <xf numFmtId="166" fontId="21" fillId="2" borderId="65" xfId="0" applyNumberFormat="1" applyFont="1" applyFill="1" applyBorder="1" applyAlignment="1">
      <alignment vertical="top" wrapText="1"/>
    </xf>
    <xf numFmtId="166" fontId="21" fillId="2" borderId="39" xfId="0" applyNumberFormat="1" applyFont="1" applyFill="1" applyBorder="1" applyAlignment="1">
      <alignment horizontal="center" vertical="top" wrapText="1"/>
    </xf>
    <xf numFmtId="0" fontId="21" fillId="2" borderId="14" xfId="0" applyFont="1" applyFill="1" applyBorder="1" applyAlignment="1">
      <alignment horizontal="center" vertical="top" wrapText="1"/>
    </xf>
    <xf numFmtId="166" fontId="21" fillId="2" borderId="14" xfId="0" applyNumberFormat="1" applyFont="1" applyFill="1" applyBorder="1" applyAlignment="1">
      <alignment horizontal="center" vertical="top" wrapText="1"/>
    </xf>
    <xf numFmtId="0" fontId="35" fillId="2" borderId="25" xfId="2" applyFont="1" applyFill="1" applyBorder="1" applyAlignment="1">
      <alignment horizontal="left" vertical="top" wrapText="1"/>
    </xf>
    <xf numFmtId="0" fontId="35" fillId="2" borderId="25" xfId="2" applyFont="1" applyFill="1" applyBorder="1" applyAlignment="1">
      <alignment horizontal="left" vertical="top"/>
    </xf>
    <xf numFmtId="0" fontId="12" fillId="2" borderId="1" xfId="0" applyFont="1" applyFill="1" applyBorder="1" applyAlignment="1">
      <alignment horizontal="center"/>
    </xf>
    <xf numFmtId="0" fontId="22" fillId="2" borderId="17" xfId="0" applyFont="1" applyFill="1" applyBorder="1" applyAlignment="1">
      <alignment horizontal="center" vertical="center" wrapText="1"/>
    </xf>
    <xf numFmtId="0" fontId="22" fillId="2" borderId="47" xfId="0" applyFont="1" applyFill="1" applyBorder="1" applyAlignment="1">
      <alignment horizontal="center" vertical="center"/>
    </xf>
    <xf numFmtId="0" fontId="22" fillId="2" borderId="72" xfId="0" applyFont="1" applyFill="1" applyBorder="1" applyAlignment="1">
      <alignment horizontal="center" vertical="center"/>
    </xf>
    <xf numFmtId="0" fontId="22" fillId="2" borderId="48" xfId="0" applyFont="1" applyFill="1" applyBorder="1" applyAlignment="1">
      <alignment horizontal="center" vertical="center"/>
    </xf>
    <xf numFmtId="0" fontId="23" fillId="2" borderId="49" xfId="0" applyFont="1" applyFill="1" applyBorder="1" applyAlignment="1">
      <alignment horizontal="center"/>
    </xf>
    <xf numFmtId="0" fontId="23" fillId="2" borderId="47" xfId="0" applyFont="1" applyFill="1" applyBorder="1" applyAlignment="1">
      <alignment horizontal="center"/>
    </xf>
    <xf numFmtId="0" fontId="23" fillId="2" borderId="60" xfId="0" applyFont="1" applyFill="1" applyBorder="1" applyAlignment="1">
      <alignment horizontal="center"/>
    </xf>
    <xf numFmtId="0" fontId="23" fillId="2" borderId="61" xfId="0" applyFont="1" applyFill="1" applyBorder="1" applyAlignment="1">
      <alignment horizontal="center"/>
    </xf>
    <xf numFmtId="0" fontId="22" fillId="2" borderId="53" xfId="0" applyFont="1" applyFill="1" applyBorder="1" applyAlignment="1">
      <alignment horizontal="center" vertical="center" wrapText="1"/>
    </xf>
    <xf numFmtId="0" fontId="22" fillId="2" borderId="45" xfId="0" applyFont="1" applyFill="1" applyBorder="1" applyAlignment="1">
      <alignment horizontal="center" vertical="center" wrapText="1"/>
    </xf>
    <xf numFmtId="0" fontId="22" fillId="2" borderId="46" xfId="0" applyFont="1" applyFill="1" applyBorder="1" applyAlignment="1">
      <alignment horizontal="center" vertical="center" wrapText="1"/>
    </xf>
    <xf numFmtId="0" fontId="23" fillId="2" borderId="50" xfId="0" applyFont="1" applyFill="1" applyBorder="1" applyAlignment="1">
      <alignment horizontal="center" vertical="center" wrapText="1"/>
    </xf>
    <xf numFmtId="0" fontId="23" fillId="2" borderId="52" xfId="0" applyFont="1" applyFill="1" applyBorder="1" applyAlignment="1">
      <alignment horizontal="center" vertical="center" wrapText="1"/>
    </xf>
    <xf numFmtId="0" fontId="23" fillId="2" borderId="18" xfId="0"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2" fillId="2" borderId="18" xfId="0" applyFont="1" applyFill="1" applyBorder="1" applyAlignment="1">
      <alignment horizontal="center" vertical="center" wrapText="1"/>
    </xf>
    <xf numFmtId="166" fontId="23" fillId="2" borderId="39" xfId="0" applyNumberFormat="1" applyFont="1" applyFill="1" applyBorder="1" applyAlignment="1">
      <alignment horizontal="center" vertical="center" wrapText="1"/>
    </xf>
    <xf numFmtId="166" fontId="23" fillId="2" borderId="40" xfId="0" applyNumberFormat="1" applyFont="1" applyFill="1" applyBorder="1" applyAlignment="1">
      <alignment horizontal="center" vertical="center" wrapText="1"/>
    </xf>
    <xf numFmtId="0" fontId="22" fillId="2" borderId="19" xfId="0" applyFont="1" applyFill="1" applyBorder="1" applyAlignment="1">
      <alignment horizontal="center"/>
    </xf>
    <xf numFmtId="0" fontId="22" fillId="2" borderId="38" xfId="0" applyFont="1" applyFill="1" applyBorder="1" applyAlignment="1">
      <alignment horizontal="center"/>
    </xf>
    <xf numFmtId="0" fontId="23" fillId="2" borderId="29" xfId="0" applyFont="1" applyFill="1" applyBorder="1" applyAlignment="1">
      <alignment horizontal="center" vertical="center" wrapText="1"/>
    </xf>
    <xf numFmtId="0" fontId="23" fillId="2" borderId="37" xfId="0" applyFont="1" applyFill="1" applyBorder="1" applyAlignment="1">
      <alignment horizontal="center" vertical="center" wrapText="1"/>
    </xf>
    <xf numFmtId="0" fontId="26" fillId="2" borderId="41" xfId="0" applyFont="1" applyFill="1" applyBorder="1" applyAlignment="1">
      <alignment horizontal="center" vertical="center" wrapText="1"/>
    </xf>
    <xf numFmtId="0" fontId="26" fillId="2" borderId="40" xfId="0" applyFont="1" applyFill="1" applyBorder="1" applyAlignment="1">
      <alignment horizontal="center" vertical="center" wrapText="1"/>
    </xf>
    <xf numFmtId="0" fontId="23" fillId="2" borderId="51" xfId="0" applyFont="1" applyFill="1" applyBorder="1" applyAlignment="1">
      <alignment horizontal="center" vertical="center" wrapText="1"/>
    </xf>
    <xf numFmtId="0" fontId="37" fillId="2" borderId="1" xfId="2" applyFont="1" applyFill="1" applyAlignment="1">
      <alignment horizontal="center" vertical="center" wrapText="1"/>
    </xf>
    <xf numFmtId="0" fontId="33" fillId="2" borderId="22" xfId="2" applyFont="1" applyFill="1" applyBorder="1" applyAlignment="1">
      <alignment horizontal="center" vertical="center" wrapText="1"/>
    </xf>
    <xf numFmtId="0" fontId="33" fillId="2" borderId="1" xfId="2" applyFont="1" applyFill="1" applyAlignment="1">
      <alignment horizontal="center" vertical="center" wrapText="1"/>
    </xf>
    <xf numFmtId="0" fontId="33" fillId="2" borderId="1" xfId="2" applyFont="1" applyFill="1" applyAlignment="1">
      <alignment horizontal="center" vertical="center"/>
    </xf>
    <xf numFmtId="0" fontId="36" fillId="2" borderId="1" xfId="2"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47" fillId="0" borderId="1" xfId="0" applyFont="1" applyBorder="1" applyAlignment="1">
      <alignment horizontal="center" vertical="center"/>
    </xf>
    <xf numFmtId="4" fontId="28" fillId="2" borderId="1" xfId="0" applyNumberFormat="1" applyFont="1" applyFill="1" applyBorder="1" applyAlignment="1" applyProtection="1">
      <alignment horizontal="right" vertical="center"/>
      <protection locked="0"/>
    </xf>
    <xf numFmtId="0" fontId="33" fillId="2" borderId="1" xfId="2" applyFont="1" applyFill="1" applyAlignment="1">
      <alignment horizontal="left" vertical="center"/>
    </xf>
    <xf numFmtId="0" fontId="28" fillId="2" borderId="1" xfId="0" applyFont="1" applyFill="1" applyBorder="1" applyAlignment="1">
      <alignment horizontal="right" vertical="center"/>
    </xf>
    <xf numFmtId="0" fontId="23" fillId="2" borderId="39" xfId="0" applyFont="1" applyFill="1" applyBorder="1" applyAlignment="1">
      <alignment horizontal="center" vertical="center" wrapText="1"/>
    </xf>
    <xf numFmtId="0" fontId="27" fillId="2" borderId="39"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8" fillId="2" borderId="14" xfId="0" applyFont="1" applyFill="1" applyBorder="1" applyAlignment="1">
      <alignment horizontal="center" vertical="center" wrapText="1"/>
    </xf>
    <xf numFmtId="0" fontId="22" fillId="2" borderId="28" xfId="0" applyFont="1" applyFill="1" applyBorder="1" applyAlignment="1">
      <alignment horizontal="center" vertical="center" wrapText="1"/>
    </xf>
    <xf numFmtId="166" fontId="43" fillId="2" borderId="25" xfId="2" applyNumberFormat="1" applyFont="1" applyFill="1" applyBorder="1" applyAlignment="1">
      <alignment horizontal="center"/>
    </xf>
    <xf numFmtId="166" fontId="35" fillId="2" borderId="25" xfId="2" applyNumberFormat="1" applyFont="1" applyFill="1" applyBorder="1" applyAlignment="1">
      <alignment horizontal="center"/>
    </xf>
    <xf numFmtId="0" fontId="10" fillId="2" borderId="1" xfId="0" applyFont="1" applyFill="1" applyBorder="1" applyAlignment="1" applyProtection="1">
      <alignment horizontal="center" vertical="center"/>
      <protection locked="0"/>
    </xf>
    <xf numFmtId="0" fontId="9" fillId="2" borderId="19" xfId="0" applyFont="1" applyFill="1" applyBorder="1" applyAlignment="1">
      <alignment horizontal="center" vertical="center" wrapText="1"/>
    </xf>
    <xf numFmtId="0" fontId="9" fillId="2" borderId="3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39" fillId="2" borderId="35" xfId="0" applyFont="1" applyFill="1" applyBorder="1" applyAlignment="1">
      <alignment horizontal="left" vertical="center" wrapText="1"/>
    </xf>
    <xf numFmtId="0" fontId="39" fillId="2" borderId="36" xfId="0" applyFont="1" applyFill="1" applyBorder="1" applyAlignment="1">
      <alignment horizontal="left" vertical="center" wrapText="1"/>
    </xf>
    <xf numFmtId="0" fontId="8" fillId="2" borderId="77"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8" fillId="2" borderId="78" xfId="0" applyFont="1" applyFill="1" applyBorder="1" applyAlignment="1">
      <alignment horizontal="center" vertical="center" wrapText="1"/>
    </xf>
    <xf numFmtId="0" fontId="42" fillId="2" borderId="3" xfId="0" applyFont="1" applyFill="1" applyBorder="1" applyAlignment="1">
      <alignment horizontal="center" vertical="center" wrapText="1"/>
    </xf>
    <xf numFmtId="0" fontId="40" fillId="2" borderId="14" xfId="0" applyFont="1" applyFill="1" applyBorder="1" applyAlignment="1">
      <alignment horizontal="center" vertical="center" wrapText="1"/>
    </xf>
    <xf numFmtId="0" fontId="40" fillId="2" borderId="43" xfId="0" applyFont="1" applyFill="1" applyBorder="1" applyAlignment="1">
      <alignment horizontal="center" vertical="center" wrapText="1"/>
    </xf>
    <xf numFmtId="0" fontId="42" fillId="2" borderId="33" xfId="0" applyFont="1" applyFill="1" applyBorder="1" applyAlignment="1">
      <alignment horizontal="center" vertical="center" wrapText="1"/>
    </xf>
    <xf numFmtId="0" fontId="8" fillId="2" borderId="74" xfId="0" applyFont="1" applyFill="1" applyBorder="1" applyAlignment="1">
      <alignment horizontal="center" vertical="center"/>
    </xf>
    <xf numFmtId="0" fontId="8" fillId="2" borderId="79" xfId="0" applyFont="1" applyFill="1" applyBorder="1" applyAlignment="1">
      <alignment horizontal="center" vertical="center"/>
    </xf>
    <xf numFmtId="0" fontId="8" fillId="2" borderId="75"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76"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39" fillId="2" borderId="81" xfId="0" applyFont="1" applyFill="1" applyBorder="1" applyAlignment="1">
      <alignment horizontal="center" vertical="center" wrapText="1"/>
    </xf>
    <xf numFmtId="0" fontId="39" fillId="2" borderId="82" xfId="0" applyFont="1" applyFill="1" applyBorder="1" applyAlignment="1">
      <alignment horizontal="center" vertical="center" wrapText="1"/>
    </xf>
    <xf numFmtId="0" fontId="39" fillId="2" borderId="79" xfId="0" applyFont="1" applyFill="1" applyBorder="1" applyAlignment="1">
      <alignment horizontal="center" vertical="center" wrapText="1"/>
    </xf>
    <xf numFmtId="0" fontId="38" fillId="2" borderId="81" xfId="0" applyFont="1" applyFill="1" applyBorder="1" applyAlignment="1">
      <alignment horizontal="center" vertical="center"/>
    </xf>
    <xf numFmtId="0" fontId="38" fillId="2" borderId="82" xfId="0" applyFont="1" applyFill="1" applyBorder="1" applyAlignment="1">
      <alignment horizontal="center" vertical="center"/>
    </xf>
    <xf numFmtId="0" fontId="38" fillId="2" borderId="35" xfId="0" applyFont="1" applyFill="1" applyBorder="1" applyAlignment="1">
      <alignment horizontal="left" vertical="center" wrapText="1"/>
    </xf>
    <xf numFmtId="0" fontId="38" fillId="2" borderId="58" xfId="0" applyFont="1" applyFill="1" applyBorder="1" applyAlignment="1">
      <alignment horizontal="left" vertical="center" wrapText="1"/>
    </xf>
    <xf numFmtId="0" fontId="38" fillId="2" borderId="36" xfId="0" applyFont="1" applyFill="1" applyBorder="1" applyAlignment="1">
      <alignment horizontal="left" vertical="center" wrapText="1"/>
    </xf>
    <xf numFmtId="0" fontId="39" fillId="2" borderId="35" xfId="0" applyFont="1" applyFill="1" applyBorder="1" applyAlignment="1">
      <alignment horizontal="center" vertical="center" wrapText="1"/>
    </xf>
    <xf numFmtId="0" fontId="39" fillId="2" borderId="58" xfId="0" applyFont="1" applyFill="1" applyBorder="1" applyAlignment="1">
      <alignment horizontal="center" vertical="center" wrapText="1"/>
    </xf>
    <xf numFmtId="0" fontId="39" fillId="2" borderId="36" xfId="0" applyFont="1" applyFill="1" applyBorder="1" applyAlignment="1">
      <alignment horizontal="center" vertical="center" wrapText="1"/>
    </xf>
    <xf numFmtId="0" fontId="39" fillId="2" borderId="58" xfId="0" applyFont="1" applyFill="1" applyBorder="1" applyAlignment="1">
      <alignment horizontal="left" vertical="center" wrapText="1"/>
    </xf>
    <xf numFmtId="0" fontId="38" fillId="2" borderId="35" xfId="0" applyFont="1" applyFill="1" applyBorder="1" applyAlignment="1">
      <alignment horizontal="center" vertical="center" wrapText="1"/>
    </xf>
    <xf numFmtId="0" fontId="38" fillId="2" borderId="58" xfId="0" applyFont="1" applyFill="1" applyBorder="1" applyAlignment="1">
      <alignment horizontal="center" vertical="center" wrapText="1"/>
    </xf>
    <xf numFmtId="0" fontId="38" fillId="2" borderId="21" xfId="0" applyFont="1" applyFill="1" applyBorder="1" applyAlignment="1">
      <alignment horizontal="left" vertical="center" wrapText="1"/>
    </xf>
    <xf numFmtId="0" fontId="41" fillId="2" borderId="23" xfId="0" applyFont="1" applyFill="1" applyBorder="1" applyAlignment="1">
      <alignment horizontal="left" vertical="center" wrapText="1"/>
    </xf>
    <xf numFmtId="0" fontId="41" fillId="2" borderId="24" xfId="0" applyFont="1" applyFill="1" applyBorder="1" applyAlignment="1">
      <alignment horizontal="left" vertical="center" wrapText="1"/>
    </xf>
    <xf numFmtId="0" fontId="17" fillId="2" borderId="90" xfId="0" applyFont="1" applyFill="1" applyBorder="1" applyAlignment="1">
      <alignment horizontal="left" vertical="center" wrapText="1"/>
    </xf>
    <xf numFmtId="0" fontId="18" fillId="2" borderId="91" xfId="0" applyFont="1" applyFill="1" applyBorder="1" applyAlignment="1">
      <alignment horizontal="left" vertical="center" wrapText="1"/>
    </xf>
    <xf numFmtId="0" fontId="18" fillId="2" borderId="16" xfId="0" applyFont="1" applyFill="1" applyBorder="1" applyAlignment="1">
      <alignment horizontal="left" vertical="center" wrapText="1"/>
    </xf>
    <xf numFmtId="0" fontId="15" fillId="2" borderId="44" xfId="0" quotePrefix="1" applyFont="1" applyFill="1" applyBorder="1" applyAlignment="1">
      <alignment horizontal="left" vertical="top" wrapText="1"/>
    </xf>
    <xf numFmtId="0" fontId="15" fillId="2" borderId="85" xfId="0" quotePrefix="1" applyFont="1" applyFill="1" applyBorder="1" applyAlignment="1">
      <alignment horizontal="left" vertical="top" wrapText="1"/>
    </xf>
    <xf numFmtId="0" fontId="15" fillId="2" borderId="14" xfId="0" quotePrefix="1" applyFont="1" applyFill="1" applyBorder="1" applyAlignment="1">
      <alignment horizontal="left" vertical="top" wrapText="1"/>
    </xf>
    <xf numFmtId="0" fontId="15" fillId="2" borderId="86" xfId="0" quotePrefix="1" applyFont="1" applyFill="1" applyBorder="1" applyAlignment="1">
      <alignment horizontal="left" vertical="top" wrapText="1"/>
    </xf>
    <xf numFmtId="0" fontId="15" fillId="2" borderId="43" xfId="0" applyFont="1" applyFill="1" applyBorder="1" applyAlignment="1">
      <alignment horizontal="left" vertical="top" wrapText="1"/>
    </xf>
    <xf numFmtId="0" fontId="15" fillId="2" borderId="34" xfId="0" applyFont="1" applyFill="1" applyBorder="1" applyAlignment="1">
      <alignment horizontal="left" vertical="top" wrapText="1"/>
    </xf>
  </cellXfs>
  <cellStyles count="3">
    <cellStyle name="Normal" xfId="0" builtinId="0"/>
    <cellStyle name="Normal 2" xfId="1"/>
    <cellStyle name="Normal 4" xfId="2"/>
  </cellStyles>
  <dxfs count="0"/>
  <tableStyles count="0" defaultTableStyle="TableStyleMedium2" defaultPivotStyle="PivotStyleLight16"/>
  <colors>
    <mruColors>
      <color rgb="FFDBE5F9"/>
      <color rgb="FFC2D3F4"/>
      <color rgb="FFC0E6F5"/>
      <color rgb="FFBBD0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169294</xdr:colOff>
      <xdr:row>7</xdr:row>
      <xdr:rowOff>45224</xdr:rowOff>
    </xdr:from>
    <xdr:to>
      <xdr:col>8</xdr:col>
      <xdr:colOff>595117</xdr:colOff>
      <xdr:row>7</xdr:row>
      <xdr:rowOff>392606</xdr:rowOff>
    </xdr:to>
    <xdr:sp macro="" textlink="">
      <xdr:nvSpPr>
        <xdr:cNvPr id="6" name="Rectangle 2">
          <a:extLst>
            <a:ext uri="{FF2B5EF4-FFF2-40B4-BE49-F238E27FC236}">
              <a16:creationId xmlns:a16="http://schemas.microsoft.com/office/drawing/2014/main" id="{3FFC379F-3965-49AE-8A31-7E3AE3A52130}"/>
            </a:ext>
            <a:ext uri="{147F2762-F138-4A5C-976F-8EAC2B608ADB}">
              <a16:predDERef xmlns:a16="http://schemas.microsoft.com/office/drawing/2014/main" pred="{C1F5A919-0975-4095-A90A-EE63EC8E88C2}"/>
            </a:ext>
          </a:extLst>
        </xdr:cNvPr>
        <xdr:cNvSpPr/>
      </xdr:nvSpPr>
      <xdr:spPr>
        <a:xfrm>
          <a:off x="11041401" y="1297081"/>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9</xdr:col>
      <xdr:colOff>76200</xdr:colOff>
      <xdr:row>7</xdr:row>
      <xdr:rowOff>46906</xdr:rowOff>
    </xdr:from>
    <xdr:to>
      <xdr:col>9</xdr:col>
      <xdr:colOff>502023</xdr:colOff>
      <xdr:row>7</xdr:row>
      <xdr:rowOff>394288</xdr:rowOff>
    </xdr:to>
    <xdr:sp macro="" textlink="">
      <xdr:nvSpPr>
        <xdr:cNvPr id="7" name="Rectangle 3">
          <a:extLst>
            <a:ext uri="{FF2B5EF4-FFF2-40B4-BE49-F238E27FC236}">
              <a16:creationId xmlns:a16="http://schemas.microsoft.com/office/drawing/2014/main" id="{6A292DA0-C41A-4443-9B8C-6586D485D206}"/>
            </a:ext>
            <a:ext uri="{147F2762-F138-4A5C-976F-8EAC2B608ADB}">
              <a16:predDERef xmlns:a16="http://schemas.microsoft.com/office/drawing/2014/main" pred="{3FFC379F-3965-49AE-8A31-7E3AE3A52130}"/>
            </a:ext>
          </a:extLst>
        </xdr:cNvPr>
        <xdr:cNvSpPr/>
      </xdr:nvSpPr>
      <xdr:spPr>
        <a:xfrm>
          <a:off x="12798879" y="1298763"/>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6</xdr:col>
      <xdr:colOff>1306285</xdr:colOff>
      <xdr:row>7</xdr:row>
      <xdr:rowOff>54429</xdr:rowOff>
    </xdr:from>
    <xdr:to>
      <xdr:col>6</xdr:col>
      <xdr:colOff>1732108</xdr:colOff>
      <xdr:row>7</xdr:row>
      <xdr:rowOff>401811</xdr:rowOff>
    </xdr:to>
    <xdr:sp macro="" textlink="">
      <xdr:nvSpPr>
        <xdr:cNvPr id="2" name="Rectangle 2">
          <a:extLst>
            <a:ext uri="{FF2B5EF4-FFF2-40B4-BE49-F238E27FC236}">
              <a16:creationId xmlns:a16="http://schemas.microsoft.com/office/drawing/2014/main" id="{284D0F48-41BE-47EE-B307-BC36EF923900}"/>
            </a:ext>
            <a:ext uri="{147F2762-F138-4A5C-976F-8EAC2B608ADB}">
              <a16:predDERef xmlns:a16="http://schemas.microsoft.com/office/drawing/2014/main" pred="{C1F5A919-0975-4095-A90A-EE63EC8E88C2}"/>
            </a:ext>
          </a:extLst>
        </xdr:cNvPr>
        <xdr:cNvSpPr/>
      </xdr:nvSpPr>
      <xdr:spPr>
        <a:xfrm>
          <a:off x="8613321" y="1306286"/>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800"/>
        </a:p>
        <a:p>
          <a:pPr algn="l"/>
          <a:endParaRPr lang="en-PH" sz="1800"/>
        </a:p>
      </xdr:txBody>
    </xdr:sp>
    <xdr:clientData/>
  </xdr:twoCellAnchor>
  <xdr:twoCellAnchor>
    <xdr:from>
      <xdr:col>8</xdr:col>
      <xdr:colOff>1633678</xdr:colOff>
      <xdr:row>0</xdr:row>
      <xdr:rowOff>69273</xdr:rowOff>
    </xdr:from>
    <xdr:to>
      <xdr:col>9</xdr:col>
      <xdr:colOff>960035</xdr:colOff>
      <xdr:row>0</xdr:row>
      <xdr:rowOff>1509273</xdr:rowOff>
    </xdr:to>
    <xdr:pic>
      <xdr:nvPicPr>
        <xdr:cNvPr id="5" name="Picture 4" descr="Logo&#10;&#10;Description automatically generated">
          <a:extLst>
            <a:ext uri="{FF2B5EF4-FFF2-40B4-BE49-F238E27FC236}">
              <a16:creationId xmlns:a16="http://schemas.microsoft.com/office/drawing/2014/main" id="{642F2F82-A216-44EF-AC4C-82197954AC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4079678" y="69273"/>
          <a:ext cx="1439175" cy="144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S76"/>
  <sheetViews>
    <sheetView showGridLines="0" tabSelected="1" view="pageBreakPreview" topLeftCell="C37" zoomScale="80" zoomScaleNormal="85" zoomScaleSheetLayoutView="80" workbookViewId="0">
      <selection activeCell="G41" sqref="G41"/>
    </sheetView>
  </sheetViews>
  <sheetFormatPr defaultColWidth="9.25" defaultRowHeight="14.25"/>
  <cols>
    <col min="1" max="1" width="24" style="12" hidden="1" customWidth="1"/>
    <col min="2" max="2" width="9.25" style="12" hidden="1" customWidth="1"/>
    <col min="3" max="3" width="54.75" style="12" customWidth="1"/>
    <col min="4" max="4" width="21.25" style="12" customWidth="1"/>
    <col min="5" max="5" width="33.75" style="12" customWidth="1"/>
    <col min="6" max="6" width="3" style="12" hidden="1" customWidth="1"/>
    <col min="7" max="8" width="26.75" style="12" customWidth="1"/>
    <col min="9" max="9" width="27.75" style="12" customWidth="1"/>
    <col min="10" max="10" width="28.25" style="12" customWidth="1"/>
    <col min="11" max="11" width="26.25" style="12" customWidth="1"/>
    <col min="12" max="12" width="30.125" style="12" customWidth="1"/>
    <col min="13" max="13" width="25.875" style="113" customWidth="1"/>
    <col min="14" max="14" width="30.375" style="12" customWidth="1"/>
    <col min="15" max="15" width="57.375" style="12" customWidth="1"/>
    <col min="16" max="16" width="10.125" style="12" hidden="1" customWidth="1"/>
    <col min="17" max="17" width="41.25" style="12" hidden="1" customWidth="1"/>
    <col min="18" max="18" width="10.125" style="12" hidden="1" customWidth="1"/>
    <col min="19" max="19" width="11.625" style="12" hidden="1" customWidth="1"/>
    <col min="20" max="24" width="0" style="12" hidden="1" customWidth="1"/>
    <col min="25" max="16384" width="9.25" style="12"/>
  </cols>
  <sheetData>
    <row r="1" spans="1:17" ht="120.6" customHeight="1"/>
    <row r="2" spans="1:17" ht="34.5">
      <c r="C2" s="252" t="s">
        <v>247</v>
      </c>
      <c r="D2" s="252"/>
      <c r="E2" s="252"/>
      <c r="F2" s="252"/>
      <c r="G2" s="252"/>
      <c r="H2" s="252"/>
      <c r="I2" s="252"/>
      <c r="J2" s="252"/>
      <c r="K2" s="252"/>
      <c r="L2" s="252"/>
      <c r="M2" s="252"/>
      <c r="N2" s="252"/>
      <c r="O2" s="252"/>
    </row>
    <row r="3" spans="1:17" ht="44.25">
      <c r="C3" s="253" t="s">
        <v>248</v>
      </c>
      <c r="D3" s="253"/>
      <c r="E3" s="253"/>
      <c r="F3" s="253"/>
      <c r="G3" s="253"/>
      <c r="H3" s="253"/>
      <c r="I3" s="253"/>
      <c r="J3" s="253"/>
      <c r="K3" s="253"/>
      <c r="L3" s="253"/>
      <c r="M3" s="253"/>
      <c r="N3" s="253"/>
      <c r="O3" s="253"/>
    </row>
    <row r="4" spans="1:17" ht="25.5">
      <c r="C4" s="254" t="s">
        <v>249</v>
      </c>
      <c r="D4" s="254"/>
      <c r="E4" s="254"/>
      <c r="F4" s="254"/>
      <c r="G4" s="254"/>
      <c r="H4" s="254"/>
      <c r="I4" s="254"/>
      <c r="J4" s="254"/>
      <c r="K4" s="254"/>
      <c r="L4" s="254"/>
      <c r="M4" s="254"/>
      <c r="N4" s="254"/>
      <c r="O4" s="254"/>
    </row>
    <row r="5" spans="1:17" ht="25.5">
      <c r="C5" s="255" t="s">
        <v>250</v>
      </c>
      <c r="D5" s="255"/>
      <c r="E5" s="255"/>
      <c r="F5" s="255"/>
      <c r="G5" s="255"/>
      <c r="H5" s="255"/>
      <c r="I5" s="255"/>
      <c r="J5" s="255"/>
      <c r="K5" s="255"/>
      <c r="L5" s="255"/>
      <c r="M5" s="255"/>
      <c r="N5" s="255"/>
      <c r="O5" s="255"/>
    </row>
    <row r="6" spans="1:17" ht="12.95" customHeight="1">
      <c r="C6" s="185"/>
      <c r="D6" s="185"/>
      <c r="E6" s="185"/>
      <c r="F6" s="185"/>
      <c r="G6" s="185"/>
      <c r="H6" s="185"/>
      <c r="I6" s="185"/>
      <c r="J6" s="185"/>
      <c r="K6" s="185"/>
      <c r="L6" s="185"/>
      <c r="M6" s="185"/>
      <c r="N6" s="185"/>
      <c r="O6" s="185"/>
    </row>
    <row r="7" spans="1:17" ht="42.6" customHeight="1">
      <c r="C7" s="266" t="s">
        <v>176</v>
      </c>
      <c r="D7" s="266"/>
      <c r="E7" s="266"/>
      <c r="F7" s="266"/>
      <c r="G7" s="266"/>
      <c r="H7" s="266"/>
      <c r="I7" s="266"/>
      <c r="J7" s="266"/>
      <c r="K7" s="266"/>
      <c r="L7" s="266"/>
      <c r="M7" s="266"/>
      <c r="N7" s="266"/>
      <c r="O7" s="266"/>
      <c r="P7" s="2"/>
      <c r="Q7" s="2"/>
    </row>
    <row r="8" spans="1:17" ht="33" customHeight="1">
      <c r="A8" s="31"/>
      <c r="B8" s="31"/>
      <c r="C8" s="221" t="s">
        <v>61</v>
      </c>
      <c r="D8" s="221"/>
      <c r="E8" s="221"/>
      <c r="F8" s="221"/>
      <c r="G8" s="221"/>
      <c r="H8" s="221"/>
      <c r="I8" s="221"/>
      <c r="J8" s="221"/>
      <c r="K8" s="221"/>
      <c r="L8" s="221"/>
      <c r="M8" s="221"/>
      <c r="N8" s="221"/>
      <c r="O8" s="221"/>
      <c r="P8" s="2"/>
      <c r="Q8" s="2"/>
    </row>
    <row r="9" spans="1:17" ht="42" customHeight="1">
      <c r="A9" s="31"/>
      <c r="B9" s="31"/>
      <c r="C9" s="31"/>
      <c r="D9" s="32"/>
      <c r="E9" s="31"/>
      <c r="F9" s="31"/>
      <c r="G9" s="31"/>
      <c r="H9" s="31"/>
      <c r="I9" s="31"/>
      <c r="J9" s="31"/>
      <c r="K9" s="31"/>
      <c r="L9" s="31"/>
      <c r="M9" s="105"/>
      <c r="N9" s="33"/>
      <c r="O9" s="33"/>
      <c r="P9" s="2"/>
      <c r="Q9" s="2"/>
    </row>
    <row r="10" spans="1:17" s="41" customFormat="1" ht="22.9" customHeight="1">
      <c r="A10" s="38"/>
      <c r="B10" s="38"/>
      <c r="C10" s="222" t="s">
        <v>26</v>
      </c>
      <c r="D10" s="223"/>
      <c r="E10" s="223"/>
      <c r="F10" s="223"/>
      <c r="G10" s="223"/>
      <c r="H10" s="224"/>
      <c r="I10" s="225"/>
      <c r="J10" s="226" t="s">
        <v>27</v>
      </c>
      <c r="K10" s="227"/>
      <c r="L10" s="228" t="s">
        <v>28</v>
      </c>
      <c r="M10" s="229"/>
      <c r="N10" s="230" t="s">
        <v>62</v>
      </c>
      <c r="O10" s="233" t="s">
        <v>63</v>
      </c>
      <c r="P10" s="39"/>
      <c r="Q10" s="40"/>
    </row>
    <row r="11" spans="1:17" s="41" customFormat="1" ht="36" customHeight="1">
      <c r="A11" s="242" t="s">
        <v>1</v>
      </c>
      <c r="B11" s="244" t="s">
        <v>2</v>
      </c>
      <c r="C11" s="246" t="s">
        <v>64</v>
      </c>
      <c r="D11" s="237" t="s">
        <v>30</v>
      </c>
      <c r="E11" s="237" t="s">
        <v>31</v>
      </c>
      <c r="F11" s="235" t="s">
        <v>65</v>
      </c>
      <c r="G11" s="235" t="s">
        <v>32</v>
      </c>
      <c r="H11" s="236" t="s">
        <v>66</v>
      </c>
      <c r="I11" s="259" t="s">
        <v>33</v>
      </c>
      <c r="J11" s="261" t="s">
        <v>3</v>
      </c>
      <c r="K11" s="262" t="s">
        <v>34</v>
      </c>
      <c r="L11" s="263" t="s">
        <v>35</v>
      </c>
      <c r="M11" s="238" t="s">
        <v>36</v>
      </c>
      <c r="N11" s="231"/>
      <c r="O11" s="234"/>
      <c r="P11" s="39"/>
      <c r="Q11" s="40"/>
    </row>
    <row r="12" spans="1:17" s="41" customFormat="1" ht="95.25" customHeight="1">
      <c r="A12" s="243"/>
      <c r="B12" s="245"/>
      <c r="C12" s="246"/>
      <c r="D12" s="237"/>
      <c r="E12" s="237"/>
      <c r="F12" s="235"/>
      <c r="G12" s="235"/>
      <c r="H12" s="237"/>
      <c r="I12" s="260"/>
      <c r="J12" s="261"/>
      <c r="K12" s="262"/>
      <c r="L12" s="263"/>
      <c r="M12" s="239"/>
      <c r="N12" s="232"/>
      <c r="O12" s="234"/>
      <c r="P12" s="39"/>
      <c r="Q12" s="40"/>
    </row>
    <row r="13" spans="1:17" s="41" customFormat="1" ht="22.15" customHeight="1">
      <c r="A13" s="240" t="s">
        <v>4</v>
      </c>
      <c r="B13" s="241"/>
      <c r="C13" s="42" t="s">
        <v>4</v>
      </c>
      <c r="D13" s="43" t="s">
        <v>5</v>
      </c>
      <c r="E13" s="43" t="s">
        <v>6</v>
      </c>
      <c r="F13" s="43" t="s">
        <v>7</v>
      </c>
      <c r="G13" s="43" t="s">
        <v>7</v>
      </c>
      <c r="H13" s="43" t="s">
        <v>8</v>
      </c>
      <c r="I13" s="43" t="s">
        <v>9</v>
      </c>
      <c r="J13" s="43" t="s">
        <v>10</v>
      </c>
      <c r="K13" s="43" t="s">
        <v>11</v>
      </c>
      <c r="L13" s="43" t="s">
        <v>12</v>
      </c>
      <c r="M13" s="106" t="s">
        <v>13</v>
      </c>
      <c r="N13" s="44" t="s">
        <v>14</v>
      </c>
      <c r="O13" s="45" t="s">
        <v>15</v>
      </c>
      <c r="P13" s="39"/>
      <c r="Q13" s="40"/>
    </row>
    <row r="14" spans="1:17" s="41" customFormat="1" ht="24.75" customHeight="1">
      <c r="A14" s="46" t="s">
        <v>16</v>
      </c>
      <c r="B14" s="47"/>
      <c r="C14" s="177" t="s">
        <v>38</v>
      </c>
      <c r="D14" s="178"/>
      <c r="E14" s="178"/>
      <c r="F14" s="178"/>
      <c r="G14" s="178"/>
      <c r="H14" s="178"/>
      <c r="I14" s="178"/>
      <c r="J14" s="178"/>
      <c r="K14" s="178"/>
      <c r="L14" s="178"/>
      <c r="M14" s="178"/>
      <c r="N14" s="178"/>
      <c r="O14" s="179"/>
      <c r="P14" s="39"/>
      <c r="Q14" s="104"/>
    </row>
    <row r="15" spans="1:17" s="41" customFormat="1" ht="24.75" customHeight="1">
      <c r="A15" s="46" t="s">
        <v>16</v>
      </c>
      <c r="B15" s="47"/>
      <c r="C15" s="186" t="s">
        <v>258</v>
      </c>
      <c r="D15" s="187"/>
      <c r="E15" s="187"/>
      <c r="F15" s="187"/>
      <c r="G15" s="187"/>
      <c r="H15" s="187"/>
      <c r="I15" s="187"/>
      <c r="J15" s="187"/>
      <c r="K15" s="187"/>
      <c r="L15" s="187"/>
      <c r="M15" s="187"/>
      <c r="N15" s="187"/>
      <c r="O15" s="188"/>
      <c r="P15" s="39"/>
      <c r="Q15" s="104"/>
    </row>
    <row r="16" spans="1:17" s="127" customFormat="1" ht="101.25">
      <c r="A16" s="138">
        <v>10101010</v>
      </c>
      <c r="B16" s="139"/>
      <c r="C16" s="140" t="s">
        <v>259</v>
      </c>
      <c r="D16" s="123" t="s">
        <v>199</v>
      </c>
      <c r="E16" s="123" t="s">
        <v>74</v>
      </c>
      <c r="F16" s="123"/>
      <c r="G16" s="144" t="s">
        <v>207</v>
      </c>
      <c r="H16" s="137" t="s">
        <v>121</v>
      </c>
      <c r="I16" s="121" t="s">
        <v>231</v>
      </c>
      <c r="J16" s="133" t="s">
        <v>183</v>
      </c>
      <c r="K16" s="133" t="s">
        <v>184</v>
      </c>
      <c r="L16" s="123" t="s">
        <v>180</v>
      </c>
      <c r="M16" s="141">
        <f>2430000+1416000</f>
        <v>3846000</v>
      </c>
      <c r="N16" s="142"/>
      <c r="O16" s="143"/>
      <c r="P16" s="141"/>
      <c r="Q16" s="104"/>
    </row>
    <row r="17" spans="1:19" s="41" customFormat="1" ht="24.75" customHeight="1">
      <c r="A17" s="46" t="s">
        <v>16</v>
      </c>
      <c r="B17" s="47"/>
      <c r="C17" s="180" t="s">
        <v>185</v>
      </c>
      <c r="D17" s="181"/>
      <c r="E17" s="181"/>
      <c r="F17" s="181"/>
      <c r="G17" s="181"/>
      <c r="H17" s="181"/>
      <c r="I17" s="181"/>
      <c r="J17" s="181"/>
      <c r="K17" s="181"/>
      <c r="L17" s="181"/>
      <c r="M17" s="181"/>
      <c r="N17" s="181"/>
      <c r="O17" s="182"/>
      <c r="P17" s="39" t="s">
        <v>253</v>
      </c>
      <c r="Q17" s="104" t="s">
        <v>254</v>
      </c>
      <c r="R17" s="41" t="s">
        <v>255</v>
      </c>
      <c r="S17" s="41" t="s">
        <v>256</v>
      </c>
    </row>
    <row r="18" spans="1:19" s="127" customFormat="1" ht="81">
      <c r="A18" s="138">
        <v>10101010</v>
      </c>
      <c r="B18" s="139"/>
      <c r="C18" s="140" t="s">
        <v>181</v>
      </c>
      <c r="D18" s="123" t="s">
        <v>182</v>
      </c>
      <c r="E18" s="123" t="s">
        <v>74</v>
      </c>
      <c r="F18" s="123"/>
      <c r="G18" s="119" t="s">
        <v>118</v>
      </c>
      <c r="H18" s="137" t="s">
        <v>121</v>
      </c>
      <c r="I18" s="121" t="s">
        <v>231</v>
      </c>
      <c r="J18" s="133" t="s">
        <v>183</v>
      </c>
      <c r="K18" s="133" t="s">
        <v>184</v>
      </c>
      <c r="L18" s="123" t="s">
        <v>180</v>
      </c>
      <c r="M18" s="141">
        <f>SUM(P18:S18)</f>
        <v>1226950</v>
      </c>
      <c r="N18" s="142"/>
      <c r="O18" s="143"/>
      <c r="P18" s="141">
        <f>15750+15750+28000+200000+105000+5600+5500+24500+28000</f>
        <v>428100</v>
      </c>
      <c r="Q18" s="104">
        <f>14000+10500+63000+52500+40250</f>
        <v>180250</v>
      </c>
      <c r="R18" s="127">
        <f>26250+35000+168000+21000+21000+35000+19600</f>
        <v>325850</v>
      </c>
      <c r="S18" s="127">
        <f>38500+19250+52500+49500+70000+63000</f>
        <v>292750</v>
      </c>
    </row>
    <row r="19" spans="1:19" s="127" customFormat="1" ht="81">
      <c r="A19" s="138"/>
      <c r="B19" s="139"/>
      <c r="C19" s="140" t="s">
        <v>212</v>
      </c>
      <c r="D19" s="123" t="s">
        <v>182</v>
      </c>
      <c r="E19" s="123" t="s">
        <v>74</v>
      </c>
      <c r="F19" s="123"/>
      <c r="G19" s="144" t="s">
        <v>207</v>
      </c>
      <c r="H19" s="120" t="s">
        <v>121</v>
      </c>
      <c r="I19" s="121" t="s">
        <v>231</v>
      </c>
      <c r="J19" s="133" t="s">
        <v>183</v>
      </c>
      <c r="K19" s="133" t="s">
        <v>184</v>
      </c>
      <c r="L19" s="123" t="s">
        <v>180</v>
      </c>
      <c r="M19" s="141">
        <f>SUM(P19:R19)</f>
        <v>1201100</v>
      </c>
      <c r="N19" s="142"/>
      <c r="O19" s="143"/>
      <c r="P19" s="126">
        <f>737000+129600</f>
        <v>866600</v>
      </c>
      <c r="Q19" s="104">
        <f>88000+88000+80000</f>
        <v>256000</v>
      </c>
      <c r="R19" s="127">
        <f>33500+45000</f>
        <v>78500</v>
      </c>
    </row>
    <row r="20" spans="1:19" s="127" customFormat="1" ht="81">
      <c r="A20" s="138"/>
      <c r="B20" s="139"/>
      <c r="C20" s="140" t="s">
        <v>245</v>
      </c>
      <c r="D20" s="123" t="s">
        <v>182</v>
      </c>
      <c r="E20" s="123" t="s">
        <v>74</v>
      </c>
      <c r="F20" s="123"/>
      <c r="G20" s="144" t="s">
        <v>207</v>
      </c>
      <c r="H20" s="120" t="s">
        <v>122</v>
      </c>
      <c r="I20" s="121" t="s">
        <v>231</v>
      </c>
      <c r="J20" s="133" t="s">
        <v>257</v>
      </c>
      <c r="K20" s="133" t="s">
        <v>183</v>
      </c>
      <c r="L20" s="123" t="s">
        <v>180</v>
      </c>
      <c r="M20" s="141">
        <v>80000</v>
      </c>
      <c r="N20" s="142" t="s">
        <v>246</v>
      </c>
      <c r="O20" s="143"/>
      <c r="P20" s="126"/>
      <c r="Q20" s="104"/>
    </row>
    <row r="21" spans="1:19" s="127" customFormat="1" ht="60.75">
      <c r="A21" s="138"/>
      <c r="B21" s="139"/>
      <c r="C21" s="140" t="s">
        <v>241</v>
      </c>
      <c r="D21" s="123" t="s">
        <v>182</v>
      </c>
      <c r="E21" s="123" t="s">
        <v>74</v>
      </c>
      <c r="F21" s="123"/>
      <c r="G21" s="119" t="s">
        <v>118</v>
      </c>
      <c r="H21" s="120" t="s">
        <v>121</v>
      </c>
      <c r="I21" s="121" t="s">
        <v>231</v>
      </c>
      <c r="J21" s="133" t="s">
        <v>183</v>
      </c>
      <c r="K21" s="133" t="s">
        <v>184</v>
      </c>
      <c r="L21" s="123" t="s">
        <v>180</v>
      </c>
      <c r="M21" s="141">
        <v>164150</v>
      </c>
      <c r="N21" s="142"/>
      <c r="O21" s="143"/>
      <c r="P21" s="126"/>
      <c r="Q21" s="104"/>
    </row>
    <row r="22" spans="1:19" s="127" customFormat="1" ht="40.5">
      <c r="A22" s="138"/>
      <c r="B22" s="139"/>
      <c r="C22" s="140" t="s">
        <v>242</v>
      </c>
      <c r="D22" s="123" t="s">
        <v>182</v>
      </c>
      <c r="E22" s="123" t="s">
        <v>74</v>
      </c>
      <c r="F22" s="123"/>
      <c r="G22" s="119" t="s">
        <v>118</v>
      </c>
      <c r="H22" s="120" t="s">
        <v>121</v>
      </c>
      <c r="I22" s="121" t="s">
        <v>231</v>
      </c>
      <c r="J22" s="133" t="s">
        <v>183</v>
      </c>
      <c r="K22" s="133" t="s">
        <v>184</v>
      </c>
      <c r="L22" s="123" t="s">
        <v>180</v>
      </c>
      <c r="M22" s="141">
        <v>30000</v>
      </c>
      <c r="N22" s="189"/>
      <c r="O22" s="143"/>
      <c r="P22" s="126"/>
      <c r="Q22" s="199">
        <f>SUM(M18:M22)</f>
        <v>2702200</v>
      </c>
    </row>
    <row r="23" spans="1:19" s="41" customFormat="1" ht="24.75" customHeight="1">
      <c r="A23" s="46" t="s">
        <v>16</v>
      </c>
      <c r="B23" s="47"/>
      <c r="C23" s="180" t="s">
        <v>208</v>
      </c>
      <c r="D23" s="181"/>
      <c r="E23" s="181"/>
      <c r="F23" s="181"/>
      <c r="G23" s="181"/>
      <c r="H23" s="183"/>
      <c r="I23" s="181"/>
      <c r="J23" s="181"/>
      <c r="K23" s="181"/>
      <c r="L23" s="181"/>
      <c r="M23" s="181"/>
      <c r="N23" s="181"/>
      <c r="O23" s="182"/>
      <c r="P23" s="39"/>
      <c r="Q23" s="104"/>
    </row>
    <row r="24" spans="1:19" s="41" customFormat="1" ht="162">
      <c r="A24" s="50"/>
      <c r="B24" s="51"/>
      <c r="C24" s="117" t="s">
        <v>191</v>
      </c>
      <c r="D24" s="118" t="s">
        <v>192</v>
      </c>
      <c r="E24" s="118" t="s">
        <v>74</v>
      </c>
      <c r="F24" s="132"/>
      <c r="G24" s="119" t="s">
        <v>206</v>
      </c>
      <c r="H24" s="120" t="s">
        <v>121</v>
      </c>
      <c r="I24" s="121" t="s">
        <v>231</v>
      </c>
      <c r="J24" s="133" t="s">
        <v>183</v>
      </c>
      <c r="K24" s="133" t="s">
        <v>184</v>
      </c>
      <c r="L24" s="123" t="s">
        <v>180</v>
      </c>
      <c r="M24" s="134">
        <v>506000</v>
      </c>
      <c r="N24" s="135"/>
      <c r="O24" s="136"/>
      <c r="P24" s="39"/>
      <c r="Q24" s="104"/>
    </row>
    <row r="25" spans="1:19" s="41" customFormat="1" ht="24.75" customHeight="1">
      <c r="A25" s="46" t="s">
        <v>16</v>
      </c>
      <c r="B25" s="47"/>
      <c r="C25" s="180" t="s">
        <v>211</v>
      </c>
      <c r="D25" s="181"/>
      <c r="E25" s="181"/>
      <c r="F25" s="181"/>
      <c r="G25" s="181"/>
      <c r="H25" s="181"/>
      <c r="I25" s="181"/>
      <c r="J25" s="184"/>
      <c r="K25" s="184"/>
      <c r="L25" s="181"/>
      <c r="M25" s="181"/>
      <c r="N25" s="181"/>
      <c r="O25" s="182"/>
      <c r="P25" s="39"/>
      <c r="Q25" s="104"/>
    </row>
    <row r="26" spans="1:19" s="127" customFormat="1" ht="58.5" customHeight="1">
      <c r="A26" s="115"/>
      <c r="B26" s="116"/>
      <c r="C26" s="117" t="s">
        <v>193</v>
      </c>
      <c r="D26" s="118" t="s">
        <v>187</v>
      </c>
      <c r="E26" s="118" t="s">
        <v>74</v>
      </c>
      <c r="F26" s="118"/>
      <c r="G26" s="119" t="s">
        <v>118</v>
      </c>
      <c r="H26" s="120" t="s">
        <v>121</v>
      </c>
      <c r="I26" s="121" t="s">
        <v>231</v>
      </c>
      <c r="J26" s="131" t="s">
        <v>189</v>
      </c>
      <c r="K26" s="131" t="s">
        <v>190</v>
      </c>
      <c r="L26" s="130" t="s">
        <v>180</v>
      </c>
      <c r="M26" s="128">
        <v>50000</v>
      </c>
      <c r="N26" s="124"/>
      <c r="O26" s="125"/>
      <c r="P26" s="126"/>
      <c r="Q26" s="104"/>
    </row>
    <row r="27" spans="1:19" s="41" customFormat="1" ht="24.75" customHeight="1">
      <c r="A27" s="46" t="s">
        <v>16</v>
      </c>
      <c r="B27" s="47"/>
      <c r="C27" s="180" t="s">
        <v>210</v>
      </c>
      <c r="D27" s="181"/>
      <c r="E27" s="181"/>
      <c r="F27" s="181"/>
      <c r="G27" s="181"/>
      <c r="H27" s="181"/>
      <c r="I27" s="181"/>
      <c r="J27" s="184"/>
      <c r="K27" s="184"/>
      <c r="L27" s="181"/>
      <c r="M27" s="181"/>
      <c r="N27" s="181"/>
      <c r="O27" s="182"/>
      <c r="P27" s="39"/>
      <c r="Q27" s="104"/>
    </row>
    <row r="28" spans="1:19" s="41" customFormat="1" ht="81">
      <c r="B28" s="53"/>
      <c r="C28" s="167" t="s">
        <v>195</v>
      </c>
      <c r="D28" s="118" t="s">
        <v>182</v>
      </c>
      <c r="E28" s="151" t="s">
        <v>74</v>
      </c>
      <c r="F28" s="151"/>
      <c r="G28" s="119" t="s">
        <v>118</v>
      </c>
      <c r="H28" s="145" t="s">
        <v>121</v>
      </c>
      <c r="I28" s="121" t="s">
        <v>231</v>
      </c>
      <c r="J28" s="170" t="s">
        <v>196</v>
      </c>
      <c r="K28" s="170" t="s">
        <v>197</v>
      </c>
      <c r="L28" s="123" t="s">
        <v>180</v>
      </c>
      <c r="M28" s="171">
        <v>200000</v>
      </c>
      <c r="N28" s="151"/>
      <c r="O28" s="172"/>
      <c r="P28" s="53"/>
      <c r="Q28" s="104"/>
    </row>
    <row r="29" spans="1:19" s="41" customFormat="1" ht="40.5">
      <c r="B29" s="53"/>
      <c r="C29" s="167" t="s">
        <v>198</v>
      </c>
      <c r="D29" s="151" t="s">
        <v>199</v>
      </c>
      <c r="E29" s="151" t="s">
        <v>74</v>
      </c>
      <c r="F29" s="151"/>
      <c r="G29" s="119" t="s">
        <v>118</v>
      </c>
      <c r="H29" s="145" t="s">
        <v>121</v>
      </c>
      <c r="I29" s="121" t="s">
        <v>231</v>
      </c>
      <c r="J29" s="170" t="s">
        <v>190</v>
      </c>
      <c r="K29" s="170" t="s">
        <v>190</v>
      </c>
      <c r="L29" s="151" t="s">
        <v>180</v>
      </c>
      <c r="M29" s="171">
        <v>150000</v>
      </c>
      <c r="N29" s="151"/>
      <c r="O29" s="172"/>
      <c r="P29" s="53"/>
      <c r="Q29" s="104"/>
    </row>
    <row r="30" spans="1:19" s="41" customFormat="1" ht="40.5">
      <c r="A30" s="48">
        <v>10101010</v>
      </c>
      <c r="B30" s="49"/>
      <c r="C30" s="140" t="s">
        <v>200</v>
      </c>
      <c r="D30" s="123" t="s">
        <v>182</v>
      </c>
      <c r="E30" s="151" t="s">
        <v>74</v>
      </c>
      <c r="F30" s="123"/>
      <c r="G30" s="119" t="s">
        <v>118</v>
      </c>
      <c r="H30" s="119" t="s">
        <v>121</v>
      </c>
      <c r="I30" s="121" t="s">
        <v>231</v>
      </c>
      <c r="J30" s="133" t="s">
        <v>201</v>
      </c>
      <c r="K30" s="133" t="s">
        <v>201</v>
      </c>
      <c r="L30" s="123" t="s">
        <v>180</v>
      </c>
      <c r="M30" s="141">
        <v>12000</v>
      </c>
      <c r="N30" s="142"/>
      <c r="O30" s="143"/>
      <c r="P30" s="39"/>
      <c r="Q30" s="104"/>
    </row>
    <row r="31" spans="1:19" s="41" customFormat="1" ht="40.5">
      <c r="A31" s="50"/>
      <c r="B31" s="51"/>
      <c r="C31" s="140" t="s">
        <v>240</v>
      </c>
      <c r="D31" s="123" t="s">
        <v>182</v>
      </c>
      <c r="E31" s="151" t="s">
        <v>74</v>
      </c>
      <c r="F31" s="123"/>
      <c r="G31" s="119" t="s">
        <v>118</v>
      </c>
      <c r="H31" s="119" t="s">
        <v>121</v>
      </c>
      <c r="I31" s="121" t="s">
        <v>231</v>
      </c>
      <c r="J31" s="133" t="s">
        <v>205</v>
      </c>
      <c r="K31" s="133" t="s">
        <v>205</v>
      </c>
      <c r="L31" s="123" t="s">
        <v>180</v>
      </c>
      <c r="M31" s="141">
        <v>12000</v>
      </c>
      <c r="N31" s="135"/>
      <c r="O31" s="136"/>
      <c r="P31" s="39"/>
      <c r="Q31" s="104"/>
    </row>
    <row r="32" spans="1:19" s="41" customFormat="1" ht="40.5">
      <c r="A32" s="50"/>
      <c r="B32" s="51"/>
      <c r="C32" s="150" t="s">
        <v>202</v>
      </c>
      <c r="D32" s="123" t="s">
        <v>182</v>
      </c>
      <c r="E32" s="151" t="s">
        <v>74</v>
      </c>
      <c r="F32" s="132"/>
      <c r="G32" s="119" t="s">
        <v>118</v>
      </c>
      <c r="H32" s="144" t="s">
        <v>121</v>
      </c>
      <c r="I32" s="120" t="s">
        <v>231</v>
      </c>
      <c r="J32" s="131" t="s">
        <v>183</v>
      </c>
      <c r="K32" s="131" t="s">
        <v>184</v>
      </c>
      <c r="L32" s="147" t="s">
        <v>180</v>
      </c>
      <c r="M32" s="152">
        <v>50000</v>
      </c>
      <c r="N32" s="153" t="s">
        <v>224</v>
      </c>
      <c r="O32" s="136"/>
      <c r="P32" s="39"/>
    </row>
    <row r="33" spans="1:17" s="41" customFormat="1" ht="40.5">
      <c r="A33" s="50"/>
      <c r="B33" s="51"/>
      <c r="C33" s="117" t="s">
        <v>194</v>
      </c>
      <c r="D33" s="118" t="s">
        <v>182</v>
      </c>
      <c r="E33" s="118" t="s">
        <v>74</v>
      </c>
      <c r="F33" s="118"/>
      <c r="G33" s="119" t="s">
        <v>118</v>
      </c>
      <c r="H33" s="145" t="s">
        <v>121</v>
      </c>
      <c r="I33" s="121" t="s">
        <v>231</v>
      </c>
      <c r="J33" s="122" t="s">
        <v>183</v>
      </c>
      <c r="K33" s="122" t="s">
        <v>184</v>
      </c>
      <c r="L33" s="129" t="s">
        <v>180</v>
      </c>
      <c r="M33" s="128">
        <f>66000+75000</f>
        <v>141000</v>
      </c>
      <c r="N33" s="155"/>
      <c r="O33" s="125"/>
      <c r="P33" s="39"/>
      <c r="Q33" s="104"/>
    </row>
    <row r="34" spans="1:17" s="41" customFormat="1" ht="24.75" customHeight="1">
      <c r="A34" s="46" t="s">
        <v>16</v>
      </c>
      <c r="B34" s="47"/>
      <c r="C34" s="180" t="s">
        <v>219</v>
      </c>
      <c r="D34" s="181"/>
      <c r="E34" s="181"/>
      <c r="F34" s="181"/>
      <c r="G34" s="181"/>
      <c r="H34" s="181"/>
      <c r="I34" s="181"/>
      <c r="J34" s="184"/>
      <c r="K34" s="184"/>
      <c r="L34" s="181"/>
      <c r="M34" s="181"/>
      <c r="N34" s="181"/>
      <c r="O34" s="182"/>
      <c r="P34" s="39"/>
      <c r="Q34" s="104"/>
    </row>
    <row r="35" spans="1:17" s="41" customFormat="1" ht="60.75">
      <c r="A35" s="50"/>
      <c r="B35" s="51"/>
      <c r="C35" s="117" t="s">
        <v>213</v>
      </c>
      <c r="D35" s="118" t="s">
        <v>214</v>
      </c>
      <c r="E35" s="118" t="s">
        <v>74</v>
      </c>
      <c r="F35" s="118"/>
      <c r="G35" s="119" t="s">
        <v>118</v>
      </c>
      <c r="H35" s="145" t="s">
        <v>121</v>
      </c>
      <c r="I35" s="121" t="s">
        <v>231</v>
      </c>
      <c r="J35" s="122" t="s">
        <v>183</v>
      </c>
      <c r="K35" s="122" t="s">
        <v>184</v>
      </c>
      <c r="L35" s="129" t="s">
        <v>180</v>
      </c>
      <c r="M35" s="128">
        <v>66000</v>
      </c>
      <c r="N35" s="173"/>
      <c r="O35" s="125"/>
      <c r="P35" s="39"/>
      <c r="Q35" s="104"/>
    </row>
    <row r="36" spans="1:17" s="41" customFormat="1" ht="24.75" customHeight="1">
      <c r="A36" s="46" t="s">
        <v>16</v>
      </c>
      <c r="B36" s="47"/>
      <c r="C36" s="190" t="s">
        <v>220</v>
      </c>
      <c r="D36" s="191"/>
      <c r="E36" s="191"/>
      <c r="F36" s="191"/>
      <c r="G36" s="191"/>
      <c r="H36" s="191"/>
      <c r="I36" s="191"/>
      <c r="J36" s="192"/>
      <c r="K36" s="192"/>
      <c r="L36" s="191"/>
      <c r="M36" s="191"/>
      <c r="N36" s="191"/>
      <c r="O36" s="193"/>
      <c r="P36" s="39"/>
      <c r="Q36" s="104"/>
    </row>
    <row r="37" spans="1:17" s="41" customFormat="1" ht="40.5">
      <c r="B37" s="53"/>
      <c r="C37" s="167" t="s">
        <v>215</v>
      </c>
      <c r="D37" s="151" t="s">
        <v>216</v>
      </c>
      <c r="E37" s="118" t="s">
        <v>74</v>
      </c>
      <c r="F37" s="151"/>
      <c r="G37" s="119" t="s">
        <v>118</v>
      </c>
      <c r="H37" s="145" t="s">
        <v>121</v>
      </c>
      <c r="I37" s="121" t="s">
        <v>231</v>
      </c>
      <c r="J37" s="168" t="s">
        <v>190</v>
      </c>
      <c r="K37" s="168" t="s">
        <v>190</v>
      </c>
      <c r="L37" s="129" t="s">
        <v>180</v>
      </c>
      <c r="M37" s="174">
        <v>300000</v>
      </c>
      <c r="N37" s="175"/>
      <c r="O37" s="172"/>
      <c r="P37" s="53"/>
    </row>
    <row r="38" spans="1:17" s="41" customFormat="1" ht="24.75" customHeight="1">
      <c r="A38" s="46" t="s">
        <v>16</v>
      </c>
      <c r="B38" s="47"/>
      <c r="C38" s="190" t="s">
        <v>221</v>
      </c>
      <c r="D38" s="191"/>
      <c r="E38" s="191"/>
      <c r="F38" s="191"/>
      <c r="G38" s="191"/>
      <c r="H38" s="191"/>
      <c r="I38" s="191"/>
      <c r="J38" s="192"/>
      <c r="K38" s="192"/>
      <c r="L38" s="191"/>
      <c r="M38" s="191"/>
      <c r="N38" s="191"/>
      <c r="O38" s="193"/>
      <c r="P38" s="39"/>
      <c r="Q38" s="104"/>
    </row>
    <row r="39" spans="1:17" s="41" customFormat="1" ht="40.5">
      <c r="B39" s="53"/>
      <c r="C39" s="167" t="s">
        <v>217</v>
      </c>
      <c r="D39" s="151" t="s">
        <v>182</v>
      </c>
      <c r="E39" s="118" t="s">
        <v>74</v>
      </c>
      <c r="F39" s="151"/>
      <c r="G39" s="119" t="s">
        <v>118</v>
      </c>
      <c r="H39" s="145" t="s">
        <v>121</v>
      </c>
      <c r="I39" s="121" t="s">
        <v>231</v>
      </c>
      <c r="J39" s="168" t="s">
        <v>190</v>
      </c>
      <c r="K39" s="168" t="s">
        <v>190</v>
      </c>
      <c r="L39" s="129" t="s">
        <v>180</v>
      </c>
      <c r="M39" s="176">
        <v>55000</v>
      </c>
      <c r="N39" s="151"/>
      <c r="O39" s="172"/>
      <c r="P39" s="53"/>
    </row>
    <row r="40" spans="1:17" s="41" customFormat="1" ht="24.75" customHeight="1">
      <c r="A40" s="46" t="s">
        <v>16</v>
      </c>
      <c r="B40" s="47"/>
      <c r="C40" s="190" t="s">
        <v>222</v>
      </c>
      <c r="D40" s="191"/>
      <c r="E40" s="191"/>
      <c r="F40" s="191"/>
      <c r="G40" s="191"/>
      <c r="H40" s="191"/>
      <c r="I40" s="191"/>
      <c r="J40" s="192"/>
      <c r="K40" s="192"/>
      <c r="L40" s="191"/>
      <c r="M40" s="191"/>
      <c r="N40" s="191"/>
      <c r="O40" s="193"/>
      <c r="P40" s="39"/>
      <c r="Q40" s="104"/>
    </row>
    <row r="41" spans="1:17" s="41" customFormat="1" ht="40.5">
      <c r="B41" s="53"/>
      <c r="C41" s="167" t="s">
        <v>218</v>
      </c>
      <c r="D41" s="151" t="s">
        <v>182</v>
      </c>
      <c r="E41" s="118" t="s">
        <v>74</v>
      </c>
      <c r="F41" s="151"/>
      <c r="G41" s="119" t="s">
        <v>118</v>
      </c>
      <c r="H41" s="145" t="s">
        <v>121</v>
      </c>
      <c r="I41" s="121" t="s">
        <v>231</v>
      </c>
      <c r="J41" s="168" t="s">
        <v>190</v>
      </c>
      <c r="K41" s="168" t="s">
        <v>190</v>
      </c>
      <c r="L41" s="129" t="s">
        <v>180</v>
      </c>
      <c r="M41" s="176">
        <v>150000</v>
      </c>
      <c r="N41" s="151"/>
      <c r="O41" s="172"/>
      <c r="P41" s="53"/>
    </row>
    <row r="42" spans="1:17" s="41" customFormat="1" ht="24.75" customHeight="1">
      <c r="A42" s="46" t="s">
        <v>16</v>
      </c>
      <c r="B42" s="47"/>
      <c r="C42" s="194" t="s">
        <v>225</v>
      </c>
      <c r="D42" s="195"/>
      <c r="E42" s="195"/>
      <c r="F42" s="195"/>
      <c r="G42" s="195"/>
      <c r="H42" s="195"/>
      <c r="I42" s="195"/>
      <c r="J42" s="196"/>
      <c r="K42" s="196"/>
      <c r="L42" s="196"/>
      <c r="M42" s="195"/>
      <c r="N42" s="195"/>
      <c r="O42" s="197"/>
      <c r="P42" s="39"/>
      <c r="Q42" s="104"/>
    </row>
    <row r="43" spans="1:17" s="41" customFormat="1" ht="40.5">
      <c r="B43" s="53"/>
      <c r="C43" s="167" t="s">
        <v>226</v>
      </c>
      <c r="D43" s="151" t="s">
        <v>182</v>
      </c>
      <c r="E43" s="118" t="s">
        <v>74</v>
      </c>
      <c r="F43" s="151"/>
      <c r="G43" s="119" t="s">
        <v>227</v>
      </c>
      <c r="H43" s="145" t="s">
        <v>121</v>
      </c>
      <c r="I43" s="146"/>
      <c r="J43" s="168" t="s">
        <v>183</v>
      </c>
      <c r="K43" s="168" t="s">
        <v>184</v>
      </c>
      <c r="L43" s="147" t="s">
        <v>180</v>
      </c>
      <c r="M43" s="169">
        <v>83000</v>
      </c>
      <c r="N43" s="135" t="s">
        <v>224</v>
      </c>
      <c r="O43" s="114"/>
      <c r="P43" s="53"/>
    </row>
    <row r="44" spans="1:17" s="41" customFormat="1" ht="40.5">
      <c r="B44" s="53"/>
      <c r="C44" s="167" t="s">
        <v>228</v>
      </c>
      <c r="D44" s="151" t="s">
        <v>182</v>
      </c>
      <c r="E44" s="118" t="s">
        <v>74</v>
      </c>
      <c r="F44" s="151"/>
      <c r="G44" s="119" t="s">
        <v>227</v>
      </c>
      <c r="H44" s="145" t="s">
        <v>121</v>
      </c>
      <c r="I44" s="146"/>
      <c r="J44" s="168" t="s">
        <v>183</v>
      </c>
      <c r="K44" s="168" t="s">
        <v>184</v>
      </c>
      <c r="L44" s="147" t="s">
        <v>180</v>
      </c>
      <c r="M44" s="169">
        <v>1560000</v>
      </c>
      <c r="N44" s="135" t="s">
        <v>224</v>
      </c>
      <c r="O44" s="114"/>
      <c r="P44" s="53"/>
    </row>
    <row r="45" spans="1:17" s="41" customFormat="1" ht="40.5">
      <c r="B45" s="53"/>
      <c r="C45" s="167" t="s">
        <v>229</v>
      </c>
      <c r="D45" s="151" t="s">
        <v>182</v>
      </c>
      <c r="E45" s="118" t="s">
        <v>74</v>
      </c>
      <c r="F45" s="151"/>
      <c r="G45" s="119" t="s">
        <v>227</v>
      </c>
      <c r="H45" s="145" t="s">
        <v>121</v>
      </c>
      <c r="I45" s="146"/>
      <c r="J45" s="168" t="s">
        <v>183</v>
      </c>
      <c r="K45" s="168" t="s">
        <v>184</v>
      </c>
      <c r="L45" s="147" t="s">
        <v>180</v>
      </c>
      <c r="M45" s="169">
        <v>200000</v>
      </c>
      <c r="N45" s="135" t="s">
        <v>224</v>
      </c>
      <c r="O45" s="114"/>
      <c r="P45" s="53"/>
    </row>
    <row r="46" spans="1:17" s="41" customFormat="1" ht="41.25" customHeight="1">
      <c r="B46" s="53"/>
      <c r="C46" s="167" t="s">
        <v>230</v>
      </c>
      <c r="D46" s="151" t="s">
        <v>182</v>
      </c>
      <c r="E46" s="118" t="s">
        <v>74</v>
      </c>
      <c r="F46" s="151"/>
      <c r="G46" s="119" t="s">
        <v>227</v>
      </c>
      <c r="H46" s="145" t="s">
        <v>121</v>
      </c>
      <c r="I46" s="146"/>
      <c r="J46" s="168" t="s">
        <v>183</v>
      </c>
      <c r="K46" s="168" t="s">
        <v>184</v>
      </c>
      <c r="L46" s="147" t="s">
        <v>180</v>
      </c>
      <c r="M46" s="169">
        <v>1300000</v>
      </c>
      <c r="N46" s="135" t="s">
        <v>224</v>
      </c>
      <c r="O46" s="114"/>
      <c r="P46" s="53"/>
    </row>
    <row r="47" spans="1:17" s="41" customFormat="1" ht="24.75" customHeight="1">
      <c r="A47" s="46" t="s">
        <v>16</v>
      </c>
      <c r="B47" s="47"/>
      <c r="C47" s="194" t="s">
        <v>244</v>
      </c>
      <c r="D47" s="195"/>
      <c r="E47" s="195"/>
      <c r="F47" s="195"/>
      <c r="G47" s="195"/>
      <c r="H47" s="195"/>
      <c r="I47" s="195"/>
      <c r="J47" s="196"/>
      <c r="K47" s="196"/>
      <c r="L47" s="196"/>
      <c r="M47" s="195"/>
      <c r="N47" s="195"/>
      <c r="O47" s="197"/>
      <c r="P47" s="39"/>
      <c r="Q47" s="104"/>
    </row>
    <row r="48" spans="1:17" s="41" customFormat="1" ht="40.5">
      <c r="B48" s="53"/>
      <c r="C48" s="167" t="s">
        <v>243</v>
      </c>
      <c r="D48" s="151" t="s">
        <v>182</v>
      </c>
      <c r="E48" s="118" t="s">
        <v>74</v>
      </c>
      <c r="F48" s="151"/>
      <c r="G48" s="119" t="s">
        <v>227</v>
      </c>
      <c r="H48" s="145" t="s">
        <v>121</v>
      </c>
      <c r="I48" s="146"/>
      <c r="J48" s="168" t="s">
        <v>183</v>
      </c>
      <c r="K48" s="168" t="s">
        <v>184</v>
      </c>
      <c r="L48" s="147" t="s">
        <v>180</v>
      </c>
      <c r="M48" s="169">
        <v>20000</v>
      </c>
      <c r="N48" s="135" t="s">
        <v>224</v>
      </c>
      <c r="O48" s="212">
        <f>SUM(M43:M48)</f>
        <v>3163000</v>
      </c>
      <c r="P48" s="53"/>
    </row>
    <row r="49" spans="1:17" s="41" customFormat="1" ht="24.75" customHeight="1">
      <c r="B49" s="53"/>
      <c r="C49" s="200" t="s">
        <v>67</v>
      </c>
      <c r="D49" s="201"/>
      <c r="E49" s="201"/>
      <c r="F49" s="201"/>
      <c r="G49" s="201"/>
      <c r="H49" s="201"/>
      <c r="I49" s="201"/>
      <c r="J49" s="201"/>
      <c r="K49" s="201"/>
      <c r="L49" s="202"/>
      <c r="M49" s="201"/>
      <c r="N49" s="201"/>
      <c r="O49" s="203"/>
      <c r="P49" s="53"/>
    </row>
    <row r="50" spans="1:17" s="41" customFormat="1" ht="24.75" customHeight="1">
      <c r="A50" s="46" t="s">
        <v>16</v>
      </c>
      <c r="B50" s="47"/>
      <c r="C50" s="194" t="s">
        <v>209</v>
      </c>
      <c r="D50" s="195"/>
      <c r="E50" s="195"/>
      <c r="F50" s="195"/>
      <c r="G50" s="195"/>
      <c r="H50" s="195"/>
      <c r="I50" s="195"/>
      <c r="J50" s="195"/>
      <c r="K50" s="195"/>
      <c r="L50" s="195"/>
      <c r="M50" s="195"/>
      <c r="N50" s="195"/>
      <c r="O50" s="197"/>
      <c r="P50" s="39"/>
    </row>
    <row r="51" spans="1:17" s="41" customFormat="1" ht="40.5">
      <c r="B51" s="53"/>
      <c r="C51" s="150" t="s">
        <v>186</v>
      </c>
      <c r="D51" s="156" t="s">
        <v>187</v>
      </c>
      <c r="E51" s="156" t="s">
        <v>74</v>
      </c>
      <c r="F51" s="164"/>
      <c r="G51" s="165" t="s">
        <v>188</v>
      </c>
      <c r="H51" s="165" t="s">
        <v>121</v>
      </c>
      <c r="I51" s="121" t="s">
        <v>231</v>
      </c>
      <c r="J51" s="159" t="s">
        <v>189</v>
      </c>
      <c r="K51" s="160" t="s">
        <v>190</v>
      </c>
      <c r="L51" s="156" t="s">
        <v>180</v>
      </c>
      <c r="M51" s="166">
        <v>200000</v>
      </c>
      <c r="N51" s="156"/>
      <c r="O51" s="52"/>
      <c r="P51" s="53"/>
    </row>
    <row r="52" spans="1:17" s="41" customFormat="1" ht="24.75" customHeight="1">
      <c r="A52" s="46" t="s">
        <v>16</v>
      </c>
      <c r="B52" s="47"/>
      <c r="C52" s="194" t="s">
        <v>223</v>
      </c>
      <c r="D52" s="195"/>
      <c r="E52" s="195"/>
      <c r="F52" s="195"/>
      <c r="G52" s="195"/>
      <c r="H52" s="195"/>
      <c r="I52" s="196"/>
      <c r="J52" s="196"/>
      <c r="K52" s="196"/>
      <c r="L52" s="196"/>
      <c r="M52" s="196"/>
      <c r="N52" s="196"/>
      <c r="O52" s="197"/>
      <c r="P52" s="39"/>
    </row>
    <row r="53" spans="1:17" s="41" customFormat="1" ht="40.5">
      <c r="A53" s="50"/>
      <c r="B53" s="51"/>
      <c r="C53" s="117" t="s">
        <v>204</v>
      </c>
      <c r="D53" s="118" t="s">
        <v>182</v>
      </c>
      <c r="E53" s="118" t="s">
        <v>74</v>
      </c>
      <c r="F53" s="118"/>
      <c r="G53" s="165" t="s">
        <v>188</v>
      </c>
      <c r="H53" s="213" t="s">
        <v>121</v>
      </c>
      <c r="I53" s="120" t="s">
        <v>231</v>
      </c>
      <c r="J53" s="131" t="s">
        <v>183</v>
      </c>
      <c r="K53" s="131" t="s">
        <v>184</v>
      </c>
      <c r="L53" s="147" t="s">
        <v>180</v>
      </c>
      <c r="M53" s="152">
        <v>340000</v>
      </c>
      <c r="N53" s="217"/>
      <c r="O53" s="214"/>
      <c r="P53" s="39" t="s">
        <v>252</v>
      </c>
      <c r="Q53" s="104"/>
    </row>
    <row r="54" spans="1:17" s="41" customFormat="1" ht="40.5">
      <c r="A54" s="50"/>
      <c r="B54" s="51"/>
      <c r="C54" s="117" t="s">
        <v>239</v>
      </c>
      <c r="D54" s="118" t="s">
        <v>192</v>
      </c>
      <c r="E54" s="118" t="s">
        <v>74</v>
      </c>
      <c r="F54" s="118"/>
      <c r="G54" s="119" t="s">
        <v>188</v>
      </c>
      <c r="H54" s="144" t="s">
        <v>121</v>
      </c>
      <c r="I54" s="120" t="s">
        <v>231</v>
      </c>
      <c r="J54" s="131" t="s">
        <v>183</v>
      </c>
      <c r="K54" s="131" t="s">
        <v>184</v>
      </c>
      <c r="L54" s="147" t="s">
        <v>180</v>
      </c>
      <c r="M54" s="152">
        <v>200000</v>
      </c>
      <c r="N54" s="218"/>
      <c r="O54" s="215"/>
      <c r="P54" s="39"/>
    </row>
    <row r="55" spans="1:17" s="41" customFormat="1" ht="40.5">
      <c r="A55" s="50"/>
      <c r="B55" s="51"/>
      <c r="C55" s="117" t="s">
        <v>203</v>
      </c>
      <c r="D55" s="118" t="s">
        <v>192</v>
      </c>
      <c r="E55" s="118" t="s">
        <v>74</v>
      </c>
      <c r="F55" s="118"/>
      <c r="G55" s="119" t="s">
        <v>188</v>
      </c>
      <c r="H55" s="119" t="s">
        <v>121</v>
      </c>
      <c r="I55" s="149" t="s">
        <v>231</v>
      </c>
      <c r="J55" s="133" t="s">
        <v>183</v>
      </c>
      <c r="K55" s="133" t="s">
        <v>184</v>
      </c>
      <c r="L55" s="123" t="s">
        <v>180</v>
      </c>
      <c r="M55" s="154">
        <v>20000</v>
      </c>
      <c r="N55" s="216"/>
      <c r="O55" s="198"/>
      <c r="P55" s="39"/>
    </row>
    <row r="56" spans="1:17" s="41" customFormat="1" ht="24.75" customHeight="1">
      <c r="B56" s="53"/>
      <c r="C56" s="177" t="s">
        <v>39</v>
      </c>
      <c r="D56" s="178"/>
      <c r="E56" s="178"/>
      <c r="F56" s="178"/>
      <c r="G56" s="178"/>
      <c r="H56" s="178"/>
      <c r="I56" s="178"/>
      <c r="J56" s="178"/>
      <c r="K56" s="178"/>
      <c r="L56" s="178"/>
      <c r="M56" s="178"/>
      <c r="N56" s="178"/>
      <c r="O56" s="179"/>
      <c r="P56" s="53"/>
    </row>
    <row r="57" spans="1:17" s="41" customFormat="1" ht="40.5">
      <c r="B57" s="53"/>
      <c r="C57" s="150" t="s">
        <v>177</v>
      </c>
      <c r="D57" s="156" t="s">
        <v>178</v>
      </c>
      <c r="E57" s="156" t="s">
        <v>74</v>
      </c>
      <c r="F57" s="156"/>
      <c r="G57" s="157" t="s">
        <v>179</v>
      </c>
      <c r="H57" s="158" t="s">
        <v>121</v>
      </c>
      <c r="I57" s="158"/>
      <c r="J57" s="159" t="s">
        <v>183</v>
      </c>
      <c r="K57" s="160" t="s">
        <v>184</v>
      </c>
      <c r="L57" s="161" t="s">
        <v>180</v>
      </c>
      <c r="M57" s="162">
        <v>500000</v>
      </c>
      <c r="N57" s="161"/>
      <c r="O57" s="163"/>
      <c r="P57" s="53"/>
    </row>
    <row r="58" spans="1:17" s="41" customFormat="1" ht="24.75" customHeight="1" thickBot="1">
      <c r="B58" s="53"/>
      <c r="C58" s="54"/>
      <c r="D58" s="55"/>
      <c r="E58" s="55"/>
      <c r="F58" s="55"/>
      <c r="G58" s="56"/>
      <c r="H58" s="56"/>
      <c r="I58" s="56"/>
      <c r="J58" s="55" t="s">
        <v>19</v>
      </c>
      <c r="K58" s="57" t="str">
        <f>IF(G58="","","Indicate Date")</f>
        <v/>
      </c>
      <c r="L58" s="58"/>
      <c r="M58" s="107"/>
      <c r="N58" s="58"/>
      <c r="O58" s="59"/>
      <c r="P58" s="53"/>
    </row>
    <row r="59" spans="1:17" s="41" customFormat="1" ht="20.25">
      <c r="C59" s="39" t="s">
        <v>40</v>
      </c>
      <c r="D59" s="60"/>
      <c r="E59" s="39"/>
      <c r="F59" s="39"/>
      <c r="G59" s="39"/>
      <c r="H59" s="39"/>
      <c r="I59" s="39"/>
      <c r="J59" s="39"/>
      <c r="K59" s="61"/>
      <c r="L59" s="53"/>
      <c r="M59" s="108"/>
      <c r="N59" s="53"/>
      <c r="O59" s="53"/>
    </row>
    <row r="60" spans="1:17" s="41" customFormat="1" ht="20.25">
      <c r="M60" s="109"/>
    </row>
    <row r="61" spans="1:17" s="41" customFormat="1" ht="19.5" customHeight="1">
      <c r="C61" s="40"/>
      <c r="D61" s="40"/>
      <c r="E61" s="40"/>
      <c r="F61" s="40"/>
      <c r="G61" s="40"/>
      <c r="H61" s="40"/>
      <c r="I61" s="40"/>
      <c r="J61" s="256" t="s">
        <v>0</v>
      </c>
      <c r="K61" s="256"/>
      <c r="L61" s="256"/>
      <c r="M61" s="110">
        <v>80000</v>
      </c>
      <c r="N61" s="40"/>
    </row>
    <row r="62" spans="1:17" s="41" customFormat="1" ht="19.5" customHeight="1">
      <c r="C62" s="40"/>
      <c r="D62" s="40"/>
      <c r="E62" s="40"/>
      <c r="F62" s="40"/>
      <c r="G62" s="40"/>
      <c r="H62" s="40"/>
      <c r="I62" s="40"/>
      <c r="J62" s="258" t="s">
        <v>68</v>
      </c>
      <c r="K62" s="258"/>
      <c r="L62" s="258"/>
      <c r="M62" s="110">
        <f>M57</f>
        <v>500000</v>
      </c>
      <c r="N62" s="40"/>
    </row>
    <row r="63" spans="1:17" s="41" customFormat="1" ht="19.5" customHeight="1">
      <c r="C63" s="40"/>
      <c r="D63" s="40"/>
      <c r="E63" s="40"/>
      <c r="F63" s="40"/>
      <c r="G63" s="40"/>
      <c r="H63" s="40"/>
      <c r="I63" s="40"/>
      <c r="J63" s="40"/>
      <c r="K63" s="256" t="s">
        <v>41</v>
      </c>
      <c r="L63" s="256"/>
      <c r="M63" s="110">
        <f>M57+M55+M54+M51+M48+M46+M45+M44+M43+M41+M39+M37+M35+M33+M32+M31+M30+M29+M28+M53+M26+M24+M22+M21+M20+M19+M18+M16</f>
        <v>12663200</v>
      </c>
      <c r="N63" s="40"/>
    </row>
    <row r="64" spans="1:17">
      <c r="C64" s="2"/>
      <c r="D64" s="2"/>
      <c r="E64" s="2"/>
      <c r="F64" s="2"/>
      <c r="G64" s="2"/>
      <c r="H64" s="2"/>
      <c r="I64" s="2"/>
      <c r="J64" s="2"/>
      <c r="K64" s="2"/>
      <c r="L64" s="2"/>
      <c r="M64" s="111"/>
      <c r="N64" s="2"/>
    </row>
    <row r="65" spans="3:14">
      <c r="C65" s="4"/>
      <c r="D65" s="4"/>
      <c r="E65" s="4"/>
      <c r="F65" s="4"/>
      <c r="G65" s="4"/>
      <c r="H65" s="4"/>
      <c r="I65" s="4"/>
      <c r="J65" s="4"/>
      <c r="K65" s="4"/>
      <c r="L65" s="2"/>
      <c r="M65" s="111"/>
      <c r="N65" s="2"/>
    </row>
    <row r="66" spans="3:14" s="62" customFormat="1" ht="19.5">
      <c r="C66" s="63" t="s">
        <v>20</v>
      </c>
      <c r="E66" s="64"/>
      <c r="F66" s="64" t="s">
        <v>21</v>
      </c>
      <c r="H66" s="257" t="s">
        <v>21</v>
      </c>
      <c r="I66" s="257"/>
      <c r="J66" s="65"/>
      <c r="M66" s="112" t="s">
        <v>22</v>
      </c>
      <c r="N66" s="65"/>
    </row>
    <row r="67" spans="3:14" s="62" customFormat="1" ht="77.25" customHeight="1">
      <c r="C67" s="148" t="s">
        <v>232</v>
      </c>
      <c r="E67" s="64"/>
      <c r="F67" s="64"/>
      <c r="H67" s="219" t="s">
        <v>238</v>
      </c>
      <c r="I67" s="220"/>
      <c r="J67" s="65"/>
      <c r="M67" s="264" t="s">
        <v>233</v>
      </c>
      <c r="N67" s="265"/>
    </row>
    <row r="68" spans="3:14" s="62" customFormat="1" ht="28.5" customHeight="1">
      <c r="C68" s="66" t="s">
        <v>42</v>
      </c>
      <c r="E68" s="64"/>
      <c r="F68" s="64"/>
      <c r="H68" s="248" t="s">
        <v>42</v>
      </c>
      <c r="I68" s="248"/>
      <c r="J68" s="65"/>
      <c r="M68" s="249" t="s">
        <v>42</v>
      </c>
      <c r="N68" s="249"/>
    </row>
    <row r="69" spans="3:14" s="62" customFormat="1" ht="19.5">
      <c r="C69" s="67" t="s">
        <v>236</v>
      </c>
      <c r="E69" s="64"/>
      <c r="F69" s="64"/>
      <c r="H69" s="250" t="s">
        <v>234</v>
      </c>
      <c r="I69" s="250"/>
      <c r="J69" s="65"/>
      <c r="M69" s="250" t="s">
        <v>235</v>
      </c>
      <c r="N69" s="250"/>
    </row>
    <row r="70" spans="3:14" s="62" customFormat="1" ht="27" customHeight="1">
      <c r="C70" s="68" t="s">
        <v>237</v>
      </c>
      <c r="E70" s="64"/>
      <c r="F70" s="65" t="s">
        <v>23</v>
      </c>
      <c r="H70" s="251" t="s">
        <v>24</v>
      </c>
      <c r="I70" s="251"/>
      <c r="J70" s="65"/>
      <c r="M70" s="251" t="s">
        <v>69</v>
      </c>
      <c r="N70" s="251"/>
    </row>
    <row r="71" spans="3:14" s="62" customFormat="1" ht="19.5">
      <c r="C71" s="67"/>
      <c r="E71" s="64"/>
      <c r="F71" s="64" t="s">
        <v>24</v>
      </c>
      <c r="H71" s="250"/>
      <c r="I71" s="250"/>
      <c r="J71" s="64"/>
      <c r="M71" s="250"/>
      <c r="N71" s="250"/>
    </row>
    <row r="72" spans="3:14" s="62" customFormat="1" ht="28.5" customHeight="1">
      <c r="C72" s="69" t="s">
        <v>43</v>
      </c>
      <c r="D72" s="65"/>
      <c r="E72" s="65"/>
      <c r="F72" s="65"/>
      <c r="H72" s="247" t="s">
        <v>43</v>
      </c>
      <c r="I72" s="247"/>
      <c r="J72" s="65"/>
      <c r="M72" s="247" t="s">
        <v>43</v>
      </c>
      <c r="N72" s="247"/>
    </row>
    <row r="76" spans="3:14" hidden="1">
      <c r="C76" s="12" t="s">
        <v>251</v>
      </c>
    </row>
  </sheetData>
  <mergeCells count="41">
    <mergeCell ref="C2:O2"/>
    <mergeCell ref="C3:O3"/>
    <mergeCell ref="C4:O4"/>
    <mergeCell ref="C5:O5"/>
    <mergeCell ref="H71:I71"/>
    <mergeCell ref="M71:N71"/>
    <mergeCell ref="K63:L63"/>
    <mergeCell ref="H66:I66"/>
    <mergeCell ref="J61:L61"/>
    <mergeCell ref="J62:L62"/>
    <mergeCell ref="I11:I12"/>
    <mergeCell ref="J11:J12"/>
    <mergeCell ref="K11:K12"/>
    <mergeCell ref="L11:L12"/>
    <mergeCell ref="M67:N67"/>
    <mergeCell ref="C7:O7"/>
    <mergeCell ref="H72:I72"/>
    <mergeCell ref="M72:N72"/>
    <mergeCell ref="H68:I68"/>
    <mergeCell ref="M68:N68"/>
    <mergeCell ref="H69:I69"/>
    <mergeCell ref="M69:N69"/>
    <mergeCell ref="H70:I70"/>
    <mergeCell ref="M70:N70"/>
    <mergeCell ref="A13:B13"/>
    <mergeCell ref="A11:A12"/>
    <mergeCell ref="B11:B12"/>
    <mergeCell ref="C11:C12"/>
    <mergeCell ref="D11:D12"/>
    <mergeCell ref="H67:I67"/>
    <mergeCell ref="C8:O8"/>
    <mergeCell ref="C10:I10"/>
    <mergeCell ref="J10:K10"/>
    <mergeCell ref="L10:M10"/>
    <mergeCell ref="N10:N12"/>
    <mergeCell ref="O10:O12"/>
    <mergeCell ref="G11:G12"/>
    <mergeCell ref="H11:H12"/>
    <mergeCell ref="M11:M12"/>
    <mergeCell ref="E11:E12"/>
    <mergeCell ref="F11:F12"/>
  </mergeCells>
  <dataValidations count="2">
    <dataValidation allowBlank="1" showInputMessage="1" showErrorMessage="1" sqref="J71"/>
    <dataValidation type="list" errorStyle="information" allowBlank="1" showInputMessage="1" showErrorMessage="1" error="Choose from the drop down menu the applicable mode of procurement.  PEs cannot deviate from the options given here in." sqref="G77:H1015">
      <formula1>#REF!</formula1>
    </dataValidation>
  </dataValidations>
  <pageMargins left="0.23622047244094491" right="0.23622047244094491" top="0.35433070866141736" bottom="0.35433070866141736" header="0.31496062992125984" footer="0.31496062992125984"/>
  <pageSetup paperSize="14" scale="37" fitToHeight="0" orientation="landscape" r:id="rId1"/>
  <rowBreaks count="2" manualBreakCount="2">
    <brk id="29" max="14" man="1"/>
    <brk id="51" max="14"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workbookViewId="0">
      <selection activeCell="D4" sqref="D4"/>
    </sheetView>
  </sheetViews>
  <sheetFormatPr defaultRowHeight="14.25"/>
  <cols>
    <col min="1" max="1" width="26.75" style="12" customWidth="1"/>
    <col min="2" max="2" width="25.875" style="113" customWidth="1"/>
    <col min="3" max="3" width="12.625" bestFit="1" customWidth="1"/>
    <col min="7" max="7" width="18.875" bestFit="1" customWidth="1"/>
    <col min="8" max="8" width="12.625" bestFit="1" customWidth="1"/>
  </cols>
  <sheetData>
    <row r="1" spans="1:8" ht="81">
      <c r="A1" s="144" t="s">
        <v>207</v>
      </c>
      <c r="B1" s="141">
        <v>3846000</v>
      </c>
      <c r="C1" s="204">
        <f>SUM(B1:B4)</f>
        <v>5127100</v>
      </c>
      <c r="F1" s="119" t="s">
        <v>118</v>
      </c>
      <c r="G1" s="141">
        <v>1226950</v>
      </c>
      <c r="H1" s="204">
        <f>SUM(G1:G18)</f>
        <v>2947100</v>
      </c>
    </row>
    <row r="2" spans="1:8" ht="81">
      <c r="F2" s="119" t="s">
        <v>118</v>
      </c>
      <c r="G2" s="141">
        <v>164150</v>
      </c>
    </row>
    <row r="3" spans="1:8" ht="81">
      <c r="A3" s="144" t="s">
        <v>207</v>
      </c>
      <c r="B3" s="141">
        <v>1201100</v>
      </c>
      <c r="F3" s="119" t="s">
        <v>118</v>
      </c>
      <c r="G3" s="141">
        <v>30000</v>
      </c>
    </row>
    <row r="4" spans="1:8" ht="81">
      <c r="A4" s="144" t="s">
        <v>207</v>
      </c>
      <c r="B4" s="141">
        <v>80000</v>
      </c>
      <c r="F4" s="119" t="s">
        <v>118</v>
      </c>
      <c r="G4" s="128">
        <v>50000</v>
      </c>
    </row>
    <row r="5" spans="1:8" ht="81">
      <c r="F5" s="119" t="s">
        <v>118</v>
      </c>
      <c r="G5" s="128">
        <v>340000</v>
      </c>
    </row>
    <row r="6" spans="1:8" ht="81">
      <c r="F6" s="119" t="s">
        <v>118</v>
      </c>
      <c r="G6" s="171">
        <v>200000</v>
      </c>
    </row>
    <row r="7" spans="1:8" ht="81">
      <c r="A7" s="191"/>
      <c r="B7" s="191"/>
      <c r="F7" s="119" t="s">
        <v>118</v>
      </c>
      <c r="G7" s="171">
        <v>150000</v>
      </c>
    </row>
    <row r="8" spans="1:8" ht="162">
      <c r="A8" s="119" t="s">
        <v>206</v>
      </c>
      <c r="B8" s="134">
        <v>506000</v>
      </c>
      <c r="F8" s="119" t="s">
        <v>118</v>
      </c>
      <c r="G8" s="141">
        <v>12000</v>
      </c>
    </row>
    <row r="9" spans="1:8" ht="81">
      <c r="A9" s="191"/>
      <c r="B9" s="191"/>
      <c r="F9" s="119" t="s">
        <v>118</v>
      </c>
      <c r="G9" s="141">
        <v>12000</v>
      </c>
    </row>
    <row r="10" spans="1:8" ht="81">
      <c r="F10" s="119" t="s">
        <v>118</v>
      </c>
      <c r="G10" s="152">
        <v>50000</v>
      </c>
    </row>
    <row r="11" spans="1:8" ht="81">
      <c r="F11" s="119" t="s">
        <v>118</v>
      </c>
      <c r="G11" s="128">
        <v>141000</v>
      </c>
    </row>
    <row r="12" spans="1:8" ht="81">
      <c r="F12" s="119" t="s">
        <v>118</v>
      </c>
      <c r="G12" s="128">
        <v>66000</v>
      </c>
    </row>
    <row r="14" spans="1:8" ht="81">
      <c r="F14" s="119" t="s">
        <v>118</v>
      </c>
      <c r="G14" s="174">
        <v>300000</v>
      </c>
    </row>
    <row r="16" spans="1:8" ht="81">
      <c r="F16" s="119" t="s">
        <v>118</v>
      </c>
      <c r="G16" s="176">
        <v>55000</v>
      </c>
    </row>
    <row r="18" spans="1:7" ht="81">
      <c r="A18" s="191"/>
      <c r="B18" s="191"/>
      <c r="F18" s="119" t="s">
        <v>118</v>
      </c>
      <c r="G18" s="176">
        <v>150000</v>
      </c>
    </row>
    <row r="26" spans="1:7">
      <c r="A26"/>
      <c r="B26"/>
    </row>
    <row r="27" spans="1:7" ht="20.25">
      <c r="A27" s="119" t="s">
        <v>227</v>
      </c>
      <c r="B27" s="169">
        <v>83000</v>
      </c>
      <c r="C27" s="204">
        <f>SUM(B27:B32)</f>
        <v>3163000</v>
      </c>
    </row>
    <row r="28" spans="1:7" ht="20.25">
      <c r="A28" s="119" t="s">
        <v>227</v>
      </c>
      <c r="B28" s="169">
        <v>1560000</v>
      </c>
    </row>
    <row r="29" spans="1:7" ht="20.25">
      <c r="A29" s="119" t="s">
        <v>227</v>
      </c>
      <c r="B29" s="169">
        <v>200000</v>
      </c>
    </row>
    <row r="30" spans="1:7" ht="20.25">
      <c r="A30" s="119" t="s">
        <v>227</v>
      </c>
      <c r="B30" s="169">
        <v>1300000</v>
      </c>
    </row>
    <row r="31" spans="1:7">
      <c r="A31"/>
      <c r="B31"/>
    </row>
    <row r="32" spans="1:7" ht="20.25">
      <c r="A32" s="119" t="s">
        <v>227</v>
      </c>
      <c r="B32" s="169">
        <v>20000</v>
      </c>
    </row>
    <row r="33" spans="1:3">
      <c r="A33"/>
      <c r="B33"/>
    </row>
    <row r="34" spans="1:3">
      <c r="A34"/>
      <c r="B34"/>
    </row>
    <row r="35" spans="1:3" ht="20.25">
      <c r="A35" s="165" t="s">
        <v>188</v>
      </c>
      <c r="B35" s="166">
        <v>200000</v>
      </c>
      <c r="C35" s="204">
        <f>SUM(B35:B38)</f>
        <v>420000</v>
      </c>
    </row>
    <row r="36" spans="1:3">
      <c r="A36"/>
      <c r="B36"/>
    </row>
    <row r="37" spans="1:3" ht="20.25">
      <c r="A37" s="119" t="s">
        <v>188</v>
      </c>
      <c r="B37" s="154">
        <v>200000</v>
      </c>
    </row>
    <row r="38" spans="1:3" ht="20.25">
      <c r="A38" s="119" t="s">
        <v>188</v>
      </c>
      <c r="B38" s="128">
        <v>20000</v>
      </c>
    </row>
    <row r="39" spans="1:3">
      <c r="A39"/>
      <c r="B39"/>
    </row>
    <row r="40" spans="1:3" ht="40.5">
      <c r="A40" s="157" t="s">
        <v>179</v>
      </c>
      <c r="B40" s="162">
        <v>500000</v>
      </c>
    </row>
    <row r="41" spans="1:3" ht="21" thickBot="1">
      <c r="A41" s="56"/>
      <c r="B41" s="107"/>
    </row>
    <row r="42" spans="1:3" ht="20.25">
      <c r="A42" s="39"/>
      <c r="B42" s="108"/>
    </row>
    <row r="43" spans="1:3" ht="20.25">
      <c r="A43" s="41"/>
      <c r="B43" s="109"/>
    </row>
    <row r="44" spans="1:3" ht="20.25">
      <c r="A44" s="40"/>
      <c r="B44" s="110">
        <v>80000</v>
      </c>
    </row>
    <row r="45" spans="1:3" ht="20.25">
      <c r="A45" s="40"/>
      <c r="B45" s="110">
        <f>B40</f>
        <v>500000</v>
      </c>
    </row>
    <row r="46" spans="1:3" ht="20.25">
      <c r="A46" s="40"/>
      <c r="B46" s="110">
        <f>B40+B38+B37+B35+B32+B30+B29+B28+B27+G18+G16+G14+G12+G11+G10+G9+G8+G7+G6+G5+G4+B8+G3+G2+B4+B3+G1+B1</f>
        <v>12663200</v>
      </c>
    </row>
    <row r="47" spans="1:3">
      <c r="A47" s="2"/>
      <c r="B47" s="111"/>
    </row>
    <row r="48" spans="1:3">
      <c r="A48" s="4"/>
      <c r="B48" s="111"/>
    </row>
    <row r="49" spans="1:2" ht="18.75">
      <c r="A49" s="62"/>
      <c r="B49" s="112" t="s">
        <v>22</v>
      </c>
    </row>
    <row r="50" spans="1:2" ht="18.75">
      <c r="A50" s="62"/>
      <c r="B50"/>
    </row>
    <row r="51" spans="1:2" ht="18.75">
      <c r="A51" s="62"/>
      <c r="B51"/>
    </row>
    <row r="52" spans="1:2" ht="18.75">
      <c r="A52" s="62"/>
      <c r="B52"/>
    </row>
    <row r="53" spans="1:2" ht="18.75">
      <c r="A53" s="62"/>
      <c r="B53"/>
    </row>
    <row r="54" spans="1:2" ht="18.75">
      <c r="A54" s="62"/>
      <c r="B54"/>
    </row>
    <row r="55" spans="1:2" ht="18.75">
      <c r="A55" s="62"/>
      <c r="B55"/>
    </row>
  </sheetData>
  <dataValidations count="1">
    <dataValidation type="list" errorStyle="information" allowBlank="1" showInputMessage="1" showErrorMessage="1" error="Choose from the drop down menu the applicable mode of procurement.  PEs cannot deviate from the options given here in." sqref="A60:A998">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workbookViewId="0">
      <selection activeCell="C4" sqref="C4"/>
    </sheetView>
  </sheetViews>
  <sheetFormatPr defaultRowHeight="14.25"/>
  <cols>
    <col min="1" max="1" width="21.875" bestFit="1" customWidth="1"/>
  </cols>
  <sheetData>
    <row r="1" spans="1:3" ht="20.25">
      <c r="A1" s="205" t="s">
        <v>188</v>
      </c>
      <c r="B1">
        <v>200000</v>
      </c>
    </row>
    <row r="2" spans="1:3" ht="20.25">
      <c r="A2" s="207" t="s">
        <v>188</v>
      </c>
      <c r="B2">
        <v>200000</v>
      </c>
    </row>
    <row r="3" spans="1:3" ht="20.25">
      <c r="A3" s="119" t="s">
        <v>188</v>
      </c>
      <c r="B3">
        <v>20000</v>
      </c>
      <c r="C3">
        <f>SUM(B1:B4)</f>
        <v>760000</v>
      </c>
    </row>
    <row r="4" spans="1:3" ht="20.25">
      <c r="A4" s="119" t="s">
        <v>188</v>
      </c>
      <c r="B4">
        <v>340000</v>
      </c>
    </row>
    <row r="5" spans="1:3" ht="40.5">
      <c r="A5" s="144" t="s">
        <v>227</v>
      </c>
      <c r="B5">
        <v>83000</v>
      </c>
    </row>
    <row r="6" spans="1:3" ht="40.5">
      <c r="A6" s="144" t="s">
        <v>227</v>
      </c>
      <c r="B6">
        <v>1560000</v>
      </c>
    </row>
    <row r="7" spans="1:3" ht="40.5">
      <c r="A7" s="119" t="s">
        <v>227</v>
      </c>
      <c r="B7">
        <v>200000</v>
      </c>
    </row>
    <row r="8" spans="1:3" ht="40.5">
      <c r="A8" s="119" t="s">
        <v>227</v>
      </c>
      <c r="B8">
        <v>1300000</v>
      </c>
    </row>
    <row r="9" spans="1:3" ht="40.5">
      <c r="A9" s="207" t="s">
        <v>227</v>
      </c>
      <c r="B9">
        <v>20000</v>
      </c>
      <c r="C9">
        <f>SUM(B5:B9)</f>
        <v>3163000</v>
      </c>
    </row>
    <row r="10" spans="1:3" ht="202.5">
      <c r="A10" s="119" t="s">
        <v>206</v>
      </c>
      <c r="B10">
        <v>506000</v>
      </c>
      <c r="C10">
        <v>506000</v>
      </c>
    </row>
    <row r="11" spans="1:3" ht="60.75">
      <c r="A11" s="207" t="s">
        <v>207</v>
      </c>
      <c r="B11">
        <v>3846000</v>
      </c>
    </row>
    <row r="12" spans="1:3" ht="60.75">
      <c r="A12" s="119" t="s">
        <v>207</v>
      </c>
      <c r="B12">
        <v>1201100</v>
      </c>
    </row>
    <row r="13" spans="1:3" ht="60.75">
      <c r="A13" s="207" t="s">
        <v>207</v>
      </c>
      <c r="B13">
        <v>80000</v>
      </c>
      <c r="C13">
        <f>SUM(B11:B13)</f>
        <v>5127100</v>
      </c>
    </row>
    <row r="14" spans="1:3" ht="40.5">
      <c r="A14" s="119" t="s">
        <v>179</v>
      </c>
      <c r="B14">
        <v>500000</v>
      </c>
      <c r="C14">
        <v>500000</v>
      </c>
    </row>
    <row r="15" spans="1:3" ht="40.5">
      <c r="A15" s="119" t="s">
        <v>118</v>
      </c>
      <c r="B15">
        <v>1226950</v>
      </c>
      <c r="C15">
        <f>SUM(B15:B29)</f>
        <v>2607100</v>
      </c>
    </row>
    <row r="16" spans="1:3" ht="40.5">
      <c r="A16" s="119" t="s">
        <v>118</v>
      </c>
      <c r="B16">
        <v>164150</v>
      </c>
    </row>
    <row r="17" spans="1:3" ht="40.5">
      <c r="A17" s="119" t="s">
        <v>118</v>
      </c>
      <c r="B17">
        <v>30000</v>
      </c>
    </row>
    <row r="18" spans="1:3" ht="40.5">
      <c r="A18" s="119" t="s">
        <v>118</v>
      </c>
      <c r="B18">
        <v>50000</v>
      </c>
    </row>
    <row r="19" spans="1:3" ht="40.5">
      <c r="A19" s="119" t="s">
        <v>118</v>
      </c>
    </row>
    <row r="20" spans="1:3" ht="40.5">
      <c r="A20" s="119" t="s">
        <v>118</v>
      </c>
      <c r="B20">
        <v>200000</v>
      </c>
    </row>
    <row r="21" spans="1:3" ht="40.5">
      <c r="A21" s="207" t="s">
        <v>118</v>
      </c>
      <c r="B21">
        <v>150000</v>
      </c>
    </row>
    <row r="22" spans="1:3" ht="40.5">
      <c r="A22" s="119" t="s">
        <v>118</v>
      </c>
      <c r="B22">
        <v>12000</v>
      </c>
    </row>
    <row r="23" spans="1:3" ht="40.5">
      <c r="A23" s="207" t="s">
        <v>118</v>
      </c>
      <c r="B23">
        <v>12000</v>
      </c>
    </row>
    <row r="24" spans="1:3" ht="40.5">
      <c r="A24" s="119" t="s">
        <v>118</v>
      </c>
      <c r="B24">
        <v>50000</v>
      </c>
    </row>
    <row r="25" spans="1:3" ht="40.5">
      <c r="A25" s="207" t="s">
        <v>118</v>
      </c>
      <c r="B25">
        <v>141000</v>
      </c>
    </row>
    <row r="26" spans="1:3" ht="40.5">
      <c r="A26" s="119" t="s">
        <v>118</v>
      </c>
      <c r="B26">
        <v>66000</v>
      </c>
    </row>
    <row r="27" spans="1:3" ht="40.5">
      <c r="A27" s="207" t="s">
        <v>118</v>
      </c>
      <c r="B27">
        <v>300000</v>
      </c>
    </row>
    <row r="28" spans="1:3" ht="40.5">
      <c r="A28" s="119" t="s">
        <v>118</v>
      </c>
      <c r="B28">
        <v>55000</v>
      </c>
    </row>
    <row r="29" spans="1:3" ht="40.5">
      <c r="A29" s="207" t="s">
        <v>118</v>
      </c>
      <c r="B29">
        <v>150000</v>
      </c>
    </row>
    <row r="30" spans="1:3" ht="20.25">
      <c r="A30" s="208"/>
      <c r="C30">
        <f>SUM(C1:D29)</f>
        <v>12663200</v>
      </c>
    </row>
    <row r="31" spans="1:3" ht="20.25">
      <c r="A31" s="208"/>
      <c r="C31">
        <f>'APP '!M63-Sheet2!C30</f>
        <v>0</v>
      </c>
    </row>
    <row r="32" spans="1:3" ht="20.25">
      <c r="A32" s="208"/>
    </row>
    <row r="33" spans="1:1" ht="20.25">
      <c r="A33" s="208"/>
    </row>
    <row r="34" spans="1:1" ht="20.25">
      <c r="A34" s="191"/>
    </row>
    <row r="35" spans="1:1" ht="20.25">
      <c r="A35" s="208"/>
    </row>
    <row r="36" spans="1:1" ht="20.25">
      <c r="A36" s="192"/>
    </row>
    <row r="37" spans="1:1" ht="20.25">
      <c r="A37" s="191"/>
    </row>
    <row r="38" spans="1:1" ht="20.25">
      <c r="A38" s="206"/>
    </row>
    <row r="39" spans="1:1" ht="20.25">
      <c r="A39" s="195"/>
    </row>
    <row r="40" spans="1:1" ht="20.25">
      <c r="A40" s="209"/>
    </row>
    <row r="41" spans="1:1" ht="20.25">
      <c r="A41" s="210"/>
    </row>
    <row r="42" spans="1:1" ht="20.25">
      <c r="A42" s="195"/>
    </row>
    <row r="43" spans="1:1" ht="20.25">
      <c r="A43" s="211"/>
    </row>
  </sheetData>
  <sortState ref="A1:B76">
    <sortCondition ref="A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3"/>
  <sheetViews>
    <sheetView showGridLines="0" view="pageBreakPreview" topLeftCell="B16" zoomScale="85" zoomScaleNormal="85" zoomScaleSheetLayoutView="85" workbookViewId="0">
      <selection activeCell="D20" sqref="D20"/>
    </sheetView>
  </sheetViews>
  <sheetFormatPr defaultColWidth="9.125" defaultRowHeight="14.25"/>
  <cols>
    <col min="1" max="1" width="23.125" style="29" customWidth="1"/>
    <col min="2" max="2" width="31.375" style="10" customWidth="1"/>
    <col min="3" max="3" width="30.125" style="10" customWidth="1"/>
    <col min="4" max="4" width="114.75" style="10" customWidth="1"/>
    <col min="5" max="5" width="44.125" style="30" customWidth="1"/>
    <col min="6" max="6" width="34.75" style="30" customWidth="1"/>
    <col min="7" max="7" width="35.375" style="30" customWidth="1"/>
    <col min="8" max="8" width="9.125" style="12"/>
    <col min="9" max="12" width="28.75" style="12" hidden="1" customWidth="1"/>
    <col min="13" max="16384" width="9.125" style="12"/>
  </cols>
  <sheetData>
    <row r="1" spans="1:12" ht="42" customHeight="1" thickBot="1">
      <c r="A1" s="9" t="s">
        <v>70</v>
      </c>
      <c r="E1" s="11"/>
      <c r="F1" s="11"/>
      <c r="G1" s="11"/>
    </row>
    <row r="2" spans="1:12" s="3" customFormat="1" ht="31.5" customHeight="1">
      <c r="A2" s="279" t="s">
        <v>45</v>
      </c>
      <c r="B2" s="281" t="s">
        <v>46</v>
      </c>
      <c r="C2" s="281" t="s">
        <v>47</v>
      </c>
      <c r="D2" s="283" t="s">
        <v>71</v>
      </c>
      <c r="E2" s="272" t="s">
        <v>72</v>
      </c>
      <c r="F2" s="273"/>
      <c r="G2" s="274"/>
      <c r="H2" s="7"/>
      <c r="I2" s="267" t="s">
        <v>73</v>
      </c>
      <c r="J2" s="268"/>
      <c r="K2" s="268"/>
      <c r="L2" s="269"/>
    </row>
    <row r="3" spans="1:12" s="3" customFormat="1" ht="31.5" customHeight="1">
      <c r="A3" s="280"/>
      <c r="B3" s="282"/>
      <c r="C3" s="282"/>
      <c r="D3" s="284"/>
      <c r="E3" s="70" t="s">
        <v>74</v>
      </c>
      <c r="F3" s="71" t="s">
        <v>75</v>
      </c>
      <c r="G3" s="72" t="s">
        <v>76</v>
      </c>
      <c r="H3" s="7"/>
      <c r="I3" s="13" t="s">
        <v>74</v>
      </c>
      <c r="J3" s="13" t="s">
        <v>75</v>
      </c>
      <c r="K3" s="13" t="s">
        <v>76</v>
      </c>
      <c r="L3" s="13" t="s">
        <v>77</v>
      </c>
    </row>
    <row r="4" spans="1:12" s="3" customFormat="1" ht="55.5" customHeight="1">
      <c r="A4" s="288" t="s">
        <v>78</v>
      </c>
      <c r="B4" s="73" t="s">
        <v>79</v>
      </c>
      <c r="C4" s="73"/>
      <c r="D4" s="74" t="s">
        <v>80</v>
      </c>
      <c r="E4" s="75"/>
      <c r="F4" s="76" t="s">
        <v>81</v>
      </c>
      <c r="G4" s="77" t="s">
        <v>81</v>
      </c>
      <c r="H4" s="7"/>
      <c r="I4" s="6"/>
      <c r="J4" s="5"/>
      <c r="K4" s="5"/>
      <c r="L4" s="5"/>
    </row>
    <row r="5" spans="1:12" s="3" customFormat="1" ht="77.099999999999994" customHeight="1">
      <c r="A5" s="289"/>
      <c r="B5" s="297" t="s">
        <v>25</v>
      </c>
      <c r="C5" s="297" t="s">
        <v>82</v>
      </c>
      <c r="D5" s="299" t="s">
        <v>83</v>
      </c>
      <c r="E5" s="275"/>
      <c r="F5" s="275"/>
      <c r="G5" s="278"/>
      <c r="H5" s="7"/>
      <c r="I5" s="6"/>
      <c r="J5" s="5"/>
      <c r="K5" s="5"/>
      <c r="L5" s="5"/>
    </row>
    <row r="6" spans="1:12" s="3" customFormat="1" ht="409.6" customHeight="1">
      <c r="A6" s="289"/>
      <c r="B6" s="298"/>
      <c r="C6" s="298"/>
      <c r="D6" s="300"/>
      <c r="E6" s="275"/>
      <c r="F6" s="275"/>
      <c r="G6" s="278"/>
      <c r="H6" s="7"/>
      <c r="I6" s="6"/>
      <c r="J6" s="5"/>
      <c r="K6" s="5"/>
      <c r="L6" s="5"/>
    </row>
    <row r="7" spans="1:12" s="3" customFormat="1" ht="108.75" customHeight="1">
      <c r="A7" s="78"/>
      <c r="B7" s="79"/>
      <c r="C7" s="79"/>
      <c r="D7" s="301"/>
      <c r="E7" s="80"/>
      <c r="F7" s="80"/>
      <c r="G7" s="81"/>
      <c r="H7" s="34"/>
      <c r="I7" s="6"/>
      <c r="J7" s="5"/>
      <c r="K7" s="5"/>
      <c r="L7" s="5"/>
    </row>
    <row r="8" spans="1:12" s="3" customFormat="1" ht="98.45" customHeight="1">
      <c r="A8" s="285" t="s">
        <v>84</v>
      </c>
      <c r="B8" s="270" t="s">
        <v>85</v>
      </c>
      <c r="C8" s="293" t="s">
        <v>86</v>
      </c>
      <c r="D8" s="290" t="s">
        <v>87</v>
      </c>
      <c r="E8" s="82" t="s">
        <v>88</v>
      </c>
      <c r="F8" s="276" t="s">
        <v>89</v>
      </c>
      <c r="G8" s="277" t="s">
        <v>90</v>
      </c>
      <c r="H8" s="7"/>
      <c r="I8" s="6"/>
      <c r="J8" s="5"/>
      <c r="K8" s="5"/>
      <c r="L8" s="5"/>
    </row>
    <row r="9" spans="1:12" s="3" customFormat="1" ht="78.75" customHeight="1">
      <c r="A9" s="286"/>
      <c r="B9" s="296"/>
      <c r="C9" s="294"/>
      <c r="D9" s="291"/>
      <c r="E9" s="82" t="s">
        <v>91</v>
      </c>
      <c r="F9" s="276"/>
      <c r="G9" s="277"/>
      <c r="H9" s="7"/>
      <c r="I9" s="6"/>
      <c r="J9" s="5"/>
      <c r="K9" s="5"/>
      <c r="L9" s="5"/>
    </row>
    <row r="10" spans="1:12" ht="56.1" customHeight="1">
      <c r="A10" s="287"/>
      <c r="B10" s="271"/>
      <c r="C10" s="295"/>
      <c r="D10" s="292"/>
      <c r="E10" s="85" t="s">
        <v>92</v>
      </c>
      <c r="F10" s="276"/>
      <c r="G10" s="277"/>
      <c r="H10" s="14"/>
      <c r="I10" s="15" t="s">
        <v>93</v>
      </c>
      <c r="J10" s="16" t="s">
        <v>94</v>
      </c>
      <c r="K10" s="16" t="s">
        <v>95</v>
      </c>
      <c r="L10" s="16" t="s">
        <v>96</v>
      </c>
    </row>
    <row r="11" spans="1:12" ht="37.5" customHeight="1">
      <c r="A11" s="86" t="s">
        <v>48</v>
      </c>
      <c r="B11" s="87" t="s">
        <v>30</v>
      </c>
      <c r="C11" s="87" t="s">
        <v>97</v>
      </c>
      <c r="D11" s="88" t="s">
        <v>98</v>
      </c>
      <c r="E11" s="89" t="s">
        <v>99</v>
      </c>
      <c r="F11" s="90" t="s">
        <v>100</v>
      </c>
      <c r="G11" s="91" t="s">
        <v>101</v>
      </c>
      <c r="H11" s="14"/>
      <c r="I11" s="17" t="s">
        <v>74</v>
      </c>
      <c r="J11" s="18" t="s">
        <v>102</v>
      </c>
      <c r="K11" s="18" t="s">
        <v>103</v>
      </c>
      <c r="L11" s="18" t="s">
        <v>74</v>
      </c>
    </row>
    <row r="12" spans="1:12" ht="110.25" customHeight="1">
      <c r="A12" s="86" t="s">
        <v>49</v>
      </c>
      <c r="B12" s="87" t="s">
        <v>31</v>
      </c>
      <c r="C12" s="87" t="s">
        <v>104</v>
      </c>
      <c r="D12" s="87" t="s">
        <v>105</v>
      </c>
      <c r="E12" s="83" t="s">
        <v>106</v>
      </c>
      <c r="F12" s="83" t="s">
        <v>107</v>
      </c>
      <c r="G12" s="84" t="s">
        <v>108</v>
      </c>
      <c r="H12" s="14"/>
      <c r="I12" s="17" t="s">
        <v>109</v>
      </c>
      <c r="J12" s="18" t="s">
        <v>110</v>
      </c>
      <c r="K12" s="18" t="s">
        <v>111</v>
      </c>
      <c r="L12" s="18" t="s">
        <v>112</v>
      </c>
    </row>
    <row r="13" spans="1:12" ht="48.75" customHeight="1">
      <c r="A13" s="86" t="s">
        <v>50</v>
      </c>
      <c r="B13" s="87" t="s">
        <v>32</v>
      </c>
      <c r="C13" s="87" t="s">
        <v>113</v>
      </c>
      <c r="D13" s="88" t="s">
        <v>114</v>
      </c>
      <c r="E13" s="89" t="s">
        <v>17</v>
      </c>
      <c r="F13" s="90" t="s">
        <v>115</v>
      </c>
      <c r="G13" s="91" t="s">
        <v>116</v>
      </c>
      <c r="H13" s="14"/>
      <c r="I13" s="17" t="s">
        <v>17</v>
      </c>
      <c r="J13" s="18" t="s">
        <v>18</v>
      </c>
      <c r="K13" s="18" t="s">
        <v>117</v>
      </c>
      <c r="L13" s="18" t="s">
        <v>118</v>
      </c>
    </row>
    <row r="14" spans="1:12" ht="45.6" customHeight="1">
      <c r="A14" s="86" t="s">
        <v>51</v>
      </c>
      <c r="B14" s="87" t="s">
        <v>119</v>
      </c>
      <c r="C14" s="87" t="s">
        <v>120</v>
      </c>
      <c r="D14" s="88" t="s">
        <v>37</v>
      </c>
      <c r="E14" s="89" t="s">
        <v>121</v>
      </c>
      <c r="F14" s="90" t="s">
        <v>18</v>
      </c>
      <c r="G14" s="91" t="s">
        <v>121</v>
      </c>
      <c r="H14" s="14"/>
      <c r="I14" s="19" t="s">
        <v>122</v>
      </c>
      <c r="J14" s="20" t="s">
        <v>18</v>
      </c>
      <c r="K14" s="20" t="s">
        <v>121</v>
      </c>
      <c r="L14" s="21" t="s">
        <v>18</v>
      </c>
    </row>
    <row r="15" spans="1:12" ht="89.25" customHeight="1">
      <c r="A15" s="86" t="s">
        <v>52</v>
      </c>
      <c r="B15" s="87" t="s">
        <v>44</v>
      </c>
      <c r="C15" s="87" t="s">
        <v>123</v>
      </c>
      <c r="D15" s="92" t="s">
        <v>124</v>
      </c>
      <c r="E15" s="89" t="s">
        <v>125</v>
      </c>
      <c r="F15" s="93" t="s">
        <v>81</v>
      </c>
      <c r="G15" s="91" t="s">
        <v>126</v>
      </c>
      <c r="H15" s="14"/>
      <c r="I15" s="19" t="s">
        <v>127</v>
      </c>
      <c r="J15" s="23" t="s">
        <v>128</v>
      </c>
      <c r="K15" s="18" t="s">
        <v>129</v>
      </c>
      <c r="L15" s="23" t="s">
        <v>128</v>
      </c>
    </row>
    <row r="16" spans="1:12" ht="78" customHeight="1">
      <c r="A16" s="86" t="s">
        <v>53</v>
      </c>
      <c r="B16" s="87" t="s">
        <v>3</v>
      </c>
      <c r="C16" s="270" t="s">
        <v>130</v>
      </c>
      <c r="D16" s="92" t="s">
        <v>131</v>
      </c>
      <c r="E16" s="94" t="s">
        <v>127</v>
      </c>
      <c r="F16" s="95" t="s">
        <v>81</v>
      </c>
      <c r="G16" s="96" t="s">
        <v>129</v>
      </c>
      <c r="H16" s="14"/>
      <c r="I16" s="17" t="s">
        <v>132</v>
      </c>
      <c r="J16" s="23" t="s">
        <v>133</v>
      </c>
      <c r="K16" s="15" t="s">
        <v>133</v>
      </c>
      <c r="L16" s="19" t="s">
        <v>129</v>
      </c>
    </row>
    <row r="17" spans="1:12" ht="54.75" customHeight="1">
      <c r="A17" s="86" t="s">
        <v>54</v>
      </c>
      <c r="B17" s="87" t="s">
        <v>56</v>
      </c>
      <c r="C17" s="271"/>
      <c r="D17" s="88" t="s">
        <v>134</v>
      </c>
      <c r="E17" s="94" t="s">
        <v>132</v>
      </c>
      <c r="F17" s="95" t="s">
        <v>81</v>
      </c>
      <c r="G17" s="96" t="s">
        <v>129</v>
      </c>
      <c r="H17" s="14"/>
      <c r="I17" s="17" t="s">
        <v>135</v>
      </c>
      <c r="J17" s="23" t="s">
        <v>136</v>
      </c>
      <c r="K17" s="24" t="s">
        <v>137</v>
      </c>
      <c r="L17" s="19" t="s">
        <v>129</v>
      </c>
    </row>
    <row r="18" spans="1:12" ht="74.25" customHeight="1">
      <c r="A18" s="86" t="s">
        <v>55</v>
      </c>
      <c r="B18" s="87" t="s">
        <v>58</v>
      </c>
      <c r="C18" s="87" t="s">
        <v>138</v>
      </c>
      <c r="D18" s="88" t="s">
        <v>139</v>
      </c>
      <c r="E18" s="89" t="s">
        <v>140</v>
      </c>
      <c r="F18" s="90" t="s">
        <v>141</v>
      </c>
      <c r="G18" s="91" t="s">
        <v>142</v>
      </c>
      <c r="H18" s="14"/>
      <c r="I18" s="8" t="s">
        <v>143</v>
      </c>
      <c r="J18" s="8" t="s">
        <v>144</v>
      </c>
      <c r="K18" s="25" t="s">
        <v>145</v>
      </c>
      <c r="L18" s="26" t="s">
        <v>146</v>
      </c>
    </row>
    <row r="19" spans="1:12" ht="74.25" customHeight="1">
      <c r="A19" s="86" t="s">
        <v>57</v>
      </c>
      <c r="B19" s="87" t="s">
        <v>36</v>
      </c>
      <c r="C19" s="87" t="s">
        <v>147</v>
      </c>
      <c r="D19" s="88" t="s">
        <v>148</v>
      </c>
      <c r="E19" s="89" t="s">
        <v>149</v>
      </c>
      <c r="F19" s="90" t="s">
        <v>150</v>
      </c>
      <c r="G19" s="91" t="s">
        <v>151</v>
      </c>
      <c r="H19" s="14"/>
      <c r="I19" s="27">
        <v>12499544</v>
      </c>
      <c r="J19" s="28">
        <v>15900000</v>
      </c>
      <c r="K19" s="28">
        <v>750000</v>
      </c>
      <c r="L19" s="28">
        <v>600000</v>
      </c>
    </row>
    <row r="20" spans="1:12" ht="180.75" customHeight="1">
      <c r="A20" s="86" t="s">
        <v>59</v>
      </c>
      <c r="B20" s="87" t="s">
        <v>152</v>
      </c>
      <c r="C20" s="87" t="s">
        <v>153</v>
      </c>
      <c r="D20" s="88" t="s">
        <v>154</v>
      </c>
      <c r="E20" s="89" t="s">
        <v>155</v>
      </c>
      <c r="F20" s="90" t="s">
        <v>156</v>
      </c>
      <c r="G20" s="97" t="s">
        <v>81</v>
      </c>
      <c r="H20" s="14"/>
      <c r="I20" s="17" t="s">
        <v>157</v>
      </c>
      <c r="J20" s="18" t="s">
        <v>158</v>
      </c>
      <c r="K20" s="18" t="s">
        <v>159</v>
      </c>
      <c r="L20" s="18" t="s">
        <v>160</v>
      </c>
    </row>
    <row r="21" spans="1:12" ht="139.5" customHeight="1" thickBot="1">
      <c r="A21" s="98" t="s">
        <v>60</v>
      </c>
      <c r="B21" s="99" t="s">
        <v>29</v>
      </c>
      <c r="C21" s="99" t="s">
        <v>161</v>
      </c>
      <c r="D21" s="100" t="s">
        <v>162</v>
      </c>
      <c r="E21" s="101" t="s">
        <v>163</v>
      </c>
      <c r="F21" s="102" t="s">
        <v>164</v>
      </c>
      <c r="G21" s="103" t="s">
        <v>165</v>
      </c>
      <c r="H21" s="14"/>
      <c r="I21" s="17" t="s">
        <v>166</v>
      </c>
      <c r="J21" s="18" t="s">
        <v>167</v>
      </c>
      <c r="K21" s="22" t="s">
        <v>81</v>
      </c>
      <c r="L21" s="21" t="s">
        <v>168</v>
      </c>
    </row>
    <row r="22" spans="1:12">
      <c r="E22" s="11"/>
      <c r="F22" s="11"/>
      <c r="G22" s="11"/>
    </row>
    <row r="23" spans="1:12" hidden="1"/>
  </sheetData>
  <mergeCells count="20">
    <mergeCell ref="A2:A3"/>
    <mergeCell ref="B2:B3"/>
    <mergeCell ref="C2:C3"/>
    <mergeCell ref="D2:D3"/>
    <mergeCell ref="A8:A10"/>
    <mergeCell ref="A4:A6"/>
    <mergeCell ref="D8:D10"/>
    <mergeCell ref="C8:C10"/>
    <mergeCell ref="B8:B10"/>
    <mergeCell ref="C5:C6"/>
    <mergeCell ref="B5:B6"/>
    <mergeCell ref="D5:D7"/>
    <mergeCell ref="I2:L2"/>
    <mergeCell ref="C16:C17"/>
    <mergeCell ref="E2:G2"/>
    <mergeCell ref="E5:E6"/>
    <mergeCell ref="F8:F10"/>
    <mergeCell ref="G8:G10"/>
    <mergeCell ref="F5:F6"/>
    <mergeCell ref="G5:G6"/>
  </mergeCells>
  <phoneticPr fontId="3" type="noConversion"/>
  <pageMargins left="0.25" right="0.25" top="0.75" bottom="0.75" header="0.3" footer="0.3"/>
  <pageSetup paperSize="5" scale="50" fitToHeight="0" orientation="landscape" r:id="rId1"/>
  <colBreaks count="1" manualBreakCount="1">
    <brk id="7" max="1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8"/>
  <sheetViews>
    <sheetView view="pageBreakPreview" topLeftCell="A13" zoomScale="85" zoomScaleNormal="100" zoomScaleSheetLayoutView="85" workbookViewId="0">
      <selection activeCell="B36" sqref="B36"/>
    </sheetView>
  </sheetViews>
  <sheetFormatPr defaultRowHeight="14.25"/>
  <cols>
    <col min="1" max="1" width="5.125" customWidth="1"/>
    <col min="2" max="2" width="43.375" customWidth="1"/>
    <col min="3" max="3" width="45.375" customWidth="1"/>
    <col min="4" max="4" width="55.875" customWidth="1"/>
  </cols>
  <sheetData>
    <row r="1" spans="2:8" ht="26.45" customHeight="1" thickBot="1"/>
    <row r="2" spans="2:8" ht="91.5" customHeight="1" thickBot="1">
      <c r="B2" s="302" t="s">
        <v>169</v>
      </c>
      <c r="C2" s="303"/>
      <c r="D2" s="304"/>
    </row>
    <row r="3" spans="2:8" ht="356.25">
      <c r="B3" s="35" t="s">
        <v>170</v>
      </c>
      <c r="C3" s="36" t="s">
        <v>171</v>
      </c>
      <c r="D3" s="37" t="s">
        <v>172</v>
      </c>
    </row>
    <row r="4" spans="2:8" ht="157.5" customHeight="1">
      <c r="B4" s="305" t="s">
        <v>173</v>
      </c>
      <c r="C4" s="307" t="s">
        <v>174</v>
      </c>
      <c r="D4" s="309" t="s">
        <v>175</v>
      </c>
    </row>
    <row r="5" spans="2:8" ht="245.25" customHeight="1" thickBot="1">
      <c r="B5" s="306"/>
      <c r="C5" s="308"/>
      <c r="D5" s="310"/>
    </row>
    <row r="6" spans="2:8">
      <c r="H6" s="1"/>
    </row>
    <row r="7" spans="2:8">
      <c r="H7" s="1"/>
    </row>
    <row r="8" spans="2:8">
      <c r="H8" s="1"/>
    </row>
  </sheetData>
  <mergeCells count="4">
    <mergeCell ref="B2:D2"/>
    <mergeCell ref="B4:B5"/>
    <mergeCell ref="C4:C5"/>
    <mergeCell ref="D4:D5"/>
  </mergeCells>
  <pageMargins left="0.7" right="0.7" top="0.75" bottom="0.75" header="0.3" footer="0.3"/>
  <pageSetup paperSize="9" scale="55" fitToHeight="0" orientation="portrait" r:id="rId1"/>
  <colBreaks count="1" manualBreakCount="1">
    <brk id="4" max="7"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Props1.xml><?xml version="1.0" encoding="utf-8"?>
<ds:datastoreItem xmlns:ds="http://schemas.openxmlformats.org/officeDocument/2006/customXml" ds:itemID="{BC280F3B-7BBC-4A5B-B052-E620F6AFF6CA}">
  <ds:schemaRefs>
    <ds:schemaRef ds:uri="http://schemas.microsoft.com/sharepoint/v3/contenttype/forms"/>
  </ds:schemaRefs>
</ds:datastoreItem>
</file>

<file path=customXml/itemProps2.xml><?xml version="1.0" encoding="utf-8"?>
<ds:datastoreItem xmlns:ds="http://schemas.openxmlformats.org/officeDocument/2006/customXml" ds:itemID="{49B110BC-1042-40B4-BF27-33A6DFADD1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C02EFD-DD21-4747-9C86-80F1DAD7450F}">
  <ds:schemaRefs>
    <ds:schemaRef ds:uri="af35bd27-bdfd-4295-8ed5-2ef5059c205d"/>
    <ds:schemaRef ds:uri="http://purl.org/dc/dcmitype/"/>
    <ds:schemaRef ds:uri="http://schemas.microsoft.com/office/2006/documentManagement/types"/>
    <ds:schemaRef ds:uri="5ce7c07e-8caa-4af7-9998-359a438621b1"/>
    <ds:schemaRef ds:uri="http://purl.org/dc/term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APP </vt:lpstr>
      <vt:lpstr>Sheet1</vt:lpstr>
      <vt:lpstr>Sheet2</vt:lpstr>
      <vt:lpstr>Guide</vt:lpstr>
      <vt:lpstr>Updated APP Illustration</vt:lpstr>
      <vt:lpstr>'APP '!_Hlk534700986</vt:lpstr>
      <vt:lpstr>'APP '!Print_Area</vt:lpstr>
      <vt:lpstr>Guide!Print_Area</vt:lpstr>
      <vt:lpstr>'Updated APP Illustration'!Print_Area</vt:lpstr>
      <vt:lpstr>'APP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Emilia M. Paz</dc:creator>
  <cp:keywords/>
  <dc:description/>
  <cp:lastModifiedBy>Jessica V. Grifaldo</cp:lastModifiedBy>
  <cp:revision/>
  <cp:lastPrinted>2026-01-15T09:44:03Z</cp:lastPrinted>
  <dcterms:created xsi:type="dcterms:W3CDTF">2025-03-05T05:37:20Z</dcterms:created>
  <dcterms:modified xsi:type="dcterms:W3CDTF">2026-01-27T07:29:54Z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{8A2A450F-E416-4FE1-A099-92A47658C46B}</vt:lpwstr>
  </property>
  <property fmtid="{D5CDD505-2E9C-101B-9397-08002B2CF9AE}" pid="5" name="ContentTypeId">
    <vt:lpwstr>0x0101007495B6E9E7EE5E41B1BFFDF237FF97BA</vt:lpwstr>
  </property>
  <property fmtid="{D5CDD505-2E9C-101B-9397-08002B2CF9AE}" pid="6" name="MediaServiceImageTags">
    <vt:lpwstr/>
  </property>
</Properties>
</file>